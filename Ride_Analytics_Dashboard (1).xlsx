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lean Data" sheetId="1" r:id="rId1"/>
    <sheet name="Pivot Table 1" sheetId="2" r:id="rId2"/>
    <sheet name="Pivot Table 2" sheetId="3" r:id="rId3"/>
    <sheet name="Pivot Table 3" sheetId="4" r:id="rId4"/>
    <sheet name="Pivot Table 4" sheetId="5" r:id="rId5"/>
    <sheet name="Dashboard" sheetId="6" r:id="rId6"/>
  </sheets>
  <definedNames>
    <definedName name="_xlnm.Print_Area" localSheetId="5">Dashboard!$A$1:$IG$151</definedName>
    <definedName name="Slicer_pickup_location">#N/A</definedName>
    <definedName name="Slicer_ride_status">#N/A</definedName>
  </definedNames>
  <calcPr calcId="124519" fullCalcOnLoad="1"/>
  <pivotCaches>
    <pivotCache cacheId="1" r:id="rId101"/>
  </pivotCaches>
  <extLst>
    <ext xmlns:x14="http://schemas.microsoft.com/office/spreadsheetml/2009/9/main" uri="{BBE1A952-AA13-448e-AADC-164F8A28A991}">
      <x14:slicerCaches>
        <x14:slicerCache r:id="rId102"/>
        <x14:slicerCache r:id="rId103"/>
      </x14:slicerCaches>
    </ext>
  </extLst>
</workbook>
</file>

<file path=xl/sharedStrings.xml><?xml version="1.0" encoding="utf-8"?>
<sst xmlns="http://schemas.openxmlformats.org/spreadsheetml/2006/main" count="4101" uniqueCount="1082">
  <si>
    <t>ride_id</t>
  </si>
  <si>
    <t>timestamp</t>
  </si>
  <si>
    <t>pickup_location</t>
  </si>
  <si>
    <t>fare_amount</t>
  </si>
  <si>
    <t>driver_rating</t>
  </si>
  <si>
    <t>ride_status</t>
  </si>
  <si>
    <t>time_slot</t>
  </si>
  <si>
    <t>RIDE1001</t>
  </si>
  <si>
    <t>Mumbai_Thane</t>
  </si>
  <si>
    <t>COMPLETED</t>
  </si>
  <si>
    <t>11:25</t>
  </si>
  <si>
    <t>RIDE1002</t>
  </si>
  <si>
    <t>Mumbai_Colaba</t>
  </si>
  <si>
    <t>RIDE1003</t>
  </si>
  <si>
    <t>RIDE1004</t>
  </si>
  <si>
    <t>CANCELLED</t>
  </si>
  <si>
    <t>RIDE1005</t>
  </si>
  <si>
    <t>NO_DRIVER_AVAILABLE</t>
  </si>
  <si>
    <t>RIDE1006</t>
  </si>
  <si>
    <t>Mumbai_Bandra</t>
  </si>
  <si>
    <t>RIDE1007</t>
  </si>
  <si>
    <t>Mumbai_Andheri</t>
  </si>
  <si>
    <t>RIDE1008</t>
  </si>
  <si>
    <t>RIDE1009</t>
  </si>
  <si>
    <t>RIDE1010</t>
  </si>
  <si>
    <t>RIDE1011</t>
  </si>
  <si>
    <t>RIDE1012</t>
  </si>
  <si>
    <t>RIDE1013</t>
  </si>
  <si>
    <t>RIDE1014</t>
  </si>
  <si>
    <t>RIDE1015</t>
  </si>
  <si>
    <t>RIDE1016</t>
  </si>
  <si>
    <t>RIDE1017</t>
  </si>
  <si>
    <t>RIDE1018</t>
  </si>
  <si>
    <t>RIDE1019</t>
  </si>
  <si>
    <t>RIDE1020</t>
  </si>
  <si>
    <t>RIDE1021</t>
  </si>
  <si>
    <t>RIDE1022</t>
  </si>
  <si>
    <t>RIDE1023</t>
  </si>
  <si>
    <t>RIDE1024</t>
  </si>
  <si>
    <t>RIDE1025</t>
  </si>
  <si>
    <t>RIDE1026</t>
  </si>
  <si>
    <t>RIDE1027</t>
  </si>
  <si>
    <t>RIDE1028</t>
  </si>
  <si>
    <t>RIDE1029</t>
  </si>
  <si>
    <t>RIDE1030</t>
  </si>
  <si>
    <t>RIDE1031</t>
  </si>
  <si>
    <t>RIDE1032</t>
  </si>
  <si>
    <t>RIDE1033</t>
  </si>
  <si>
    <t>RIDE1034</t>
  </si>
  <si>
    <t>RIDE1035</t>
  </si>
  <si>
    <t>RIDE1036</t>
  </si>
  <si>
    <t>RIDE1037</t>
  </si>
  <si>
    <t>RIDE1038</t>
  </si>
  <si>
    <t>RIDE1039</t>
  </si>
  <si>
    <t>RIDE1040</t>
  </si>
  <si>
    <t>RIDE1041</t>
  </si>
  <si>
    <t>RIDE1042</t>
  </si>
  <si>
    <t>RIDE1043</t>
  </si>
  <si>
    <t>RIDE1044</t>
  </si>
  <si>
    <t>RIDE1045</t>
  </si>
  <si>
    <t>RIDE1046</t>
  </si>
  <si>
    <t>RIDE1047</t>
  </si>
  <si>
    <t>RIDE1048</t>
  </si>
  <si>
    <t>RIDE1049</t>
  </si>
  <si>
    <t>RIDE1050</t>
  </si>
  <si>
    <t>RIDE1051</t>
  </si>
  <si>
    <t>RIDE1052</t>
  </si>
  <si>
    <t>RIDE1053</t>
  </si>
  <si>
    <t>RIDE1054</t>
  </si>
  <si>
    <t>RIDE1055</t>
  </si>
  <si>
    <t>RIDE1056</t>
  </si>
  <si>
    <t>RIDE1057</t>
  </si>
  <si>
    <t>RIDE1058</t>
  </si>
  <si>
    <t>RIDE1059</t>
  </si>
  <si>
    <t>RIDE1060</t>
  </si>
  <si>
    <t>RIDE1061</t>
  </si>
  <si>
    <t>RIDE1062</t>
  </si>
  <si>
    <t>RIDE1063</t>
  </si>
  <si>
    <t>RIDE1064</t>
  </si>
  <si>
    <t>RIDE1065</t>
  </si>
  <si>
    <t>RIDE1066</t>
  </si>
  <si>
    <t>RIDE1067</t>
  </si>
  <si>
    <t>RIDE1068</t>
  </si>
  <si>
    <t>RIDE1069</t>
  </si>
  <si>
    <t>RIDE1070</t>
  </si>
  <si>
    <t>RIDE1071</t>
  </si>
  <si>
    <t>RIDE1072</t>
  </si>
  <si>
    <t>RIDE1073</t>
  </si>
  <si>
    <t>RIDE1074</t>
  </si>
  <si>
    <t>RIDE1075</t>
  </si>
  <si>
    <t>RIDE1076</t>
  </si>
  <si>
    <t>RIDE1077</t>
  </si>
  <si>
    <t>RIDE1078</t>
  </si>
  <si>
    <t>RIDE1079</t>
  </si>
  <si>
    <t>RIDE1080</t>
  </si>
  <si>
    <t>RIDE1081</t>
  </si>
  <si>
    <t>RIDE1082</t>
  </si>
  <si>
    <t>RIDE1083</t>
  </si>
  <si>
    <t>RIDE1084</t>
  </si>
  <si>
    <t>RIDE1085</t>
  </si>
  <si>
    <t>RIDE1086</t>
  </si>
  <si>
    <t>RIDE1087</t>
  </si>
  <si>
    <t>RIDE1088</t>
  </si>
  <si>
    <t>RIDE1089</t>
  </si>
  <si>
    <t>RIDE1090</t>
  </si>
  <si>
    <t>11:30</t>
  </si>
  <si>
    <t>RIDE1091</t>
  </si>
  <si>
    <t>RIDE1092</t>
  </si>
  <si>
    <t>RIDE1093</t>
  </si>
  <si>
    <t>RIDE1094</t>
  </si>
  <si>
    <t>RIDE1095</t>
  </si>
  <si>
    <t>RIDE1096</t>
  </si>
  <si>
    <t>RIDE1097</t>
  </si>
  <si>
    <t>RIDE1098</t>
  </si>
  <si>
    <t>RIDE1099</t>
  </si>
  <si>
    <t>RIDE1100</t>
  </si>
  <si>
    <t>RIDE1101</t>
  </si>
  <si>
    <t>RIDE1102</t>
  </si>
  <si>
    <t>RIDE1103</t>
  </si>
  <si>
    <t>RIDE1104</t>
  </si>
  <si>
    <t>RIDE1105</t>
  </si>
  <si>
    <t>RIDE1106</t>
  </si>
  <si>
    <t>RIDE1107</t>
  </si>
  <si>
    <t>RIDE1108</t>
  </si>
  <si>
    <t>RIDE1109</t>
  </si>
  <si>
    <t>RIDE1110</t>
  </si>
  <si>
    <t>RIDE1111</t>
  </si>
  <si>
    <t>RIDE1112</t>
  </si>
  <si>
    <t>RIDE1113</t>
  </si>
  <si>
    <t>RIDE1114</t>
  </si>
  <si>
    <t>RIDE1115</t>
  </si>
  <si>
    <t>RIDE1116</t>
  </si>
  <si>
    <t>RIDE1117</t>
  </si>
  <si>
    <t>RIDE1118</t>
  </si>
  <si>
    <t>RIDE1119</t>
  </si>
  <si>
    <t>RIDE1120</t>
  </si>
  <si>
    <t>RIDE1121</t>
  </si>
  <si>
    <t>RIDE1122</t>
  </si>
  <si>
    <t>RIDE1123</t>
  </si>
  <si>
    <t>RIDE1124</t>
  </si>
  <si>
    <t>RIDE1125</t>
  </si>
  <si>
    <t>RIDE1126</t>
  </si>
  <si>
    <t>RIDE1127</t>
  </si>
  <si>
    <t>RIDE1128</t>
  </si>
  <si>
    <t>RIDE1129</t>
  </si>
  <si>
    <t>RIDE1130</t>
  </si>
  <si>
    <t>RIDE1131</t>
  </si>
  <si>
    <t>RIDE1132</t>
  </si>
  <si>
    <t>RIDE1133</t>
  </si>
  <si>
    <t>RIDE1134</t>
  </si>
  <si>
    <t>RIDE1135</t>
  </si>
  <si>
    <t>RIDE1136</t>
  </si>
  <si>
    <t>RIDE1137</t>
  </si>
  <si>
    <t>RIDE1138</t>
  </si>
  <si>
    <t>RIDE1139</t>
  </si>
  <si>
    <t>RIDE1140</t>
  </si>
  <si>
    <t>RIDE1141</t>
  </si>
  <si>
    <t>RIDE1142</t>
  </si>
  <si>
    <t>RIDE1143</t>
  </si>
  <si>
    <t>RIDE1144</t>
  </si>
  <si>
    <t>RIDE1145</t>
  </si>
  <si>
    <t>RIDE1146</t>
  </si>
  <si>
    <t>RIDE1147</t>
  </si>
  <si>
    <t>RIDE1148</t>
  </si>
  <si>
    <t>RIDE1149</t>
  </si>
  <si>
    <t>RIDE1150</t>
  </si>
  <si>
    <t>RIDE1151</t>
  </si>
  <si>
    <t>11:35</t>
  </si>
  <si>
    <t>RIDE1152</t>
  </si>
  <si>
    <t>RIDE1153</t>
  </si>
  <si>
    <t>RIDE1154</t>
  </si>
  <si>
    <t>RIDE1155</t>
  </si>
  <si>
    <t>RIDE1156</t>
  </si>
  <si>
    <t>RIDE1157</t>
  </si>
  <si>
    <t>RIDE1158</t>
  </si>
  <si>
    <t>RIDE1159</t>
  </si>
  <si>
    <t>RIDE1160</t>
  </si>
  <si>
    <t>RIDE1161</t>
  </si>
  <si>
    <t>RIDE1162</t>
  </si>
  <si>
    <t>RIDE1163</t>
  </si>
  <si>
    <t>RIDE1164</t>
  </si>
  <si>
    <t>RIDE1165</t>
  </si>
  <si>
    <t>RIDE1166</t>
  </si>
  <si>
    <t>RIDE1167</t>
  </si>
  <si>
    <t>RIDE1168</t>
  </si>
  <si>
    <t>RIDE1169</t>
  </si>
  <si>
    <t>RIDE1170</t>
  </si>
  <si>
    <t>RIDE1171</t>
  </si>
  <si>
    <t>RIDE1172</t>
  </si>
  <si>
    <t>RIDE1173</t>
  </si>
  <si>
    <t>RIDE1174</t>
  </si>
  <si>
    <t>RIDE1175</t>
  </si>
  <si>
    <t>RIDE1176</t>
  </si>
  <si>
    <t>RIDE1177</t>
  </si>
  <si>
    <t>RIDE1178</t>
  </si>
  <si>
    <t>RIDE1179</t>
  </si>
  <si>
    <t>RIDE1180</t>
  </si>
  <si>
    <t>RIDE1181</t>
  </si>
  <si>
    <t>RIDE1182</t>
  </si>
  <si>
    <t>RIDE1183</t>
  </si>
  <si>
    <t>RIDE1184</t>
  </si>
  <si>
    <t>RIDE1185</t>
  </si>
  <si>
    <t>RIDE1186</t>
  </si>
  <si>
    <t>RIDE1187</t>
  </si>
  <si>
    <t>RIDE1188</t>
  </si>
  <si>
    <t>RIDE1189</t>
  </si>
  <si>
    <t>RIDE1190</t>
  </si>
  <si>
    <t>RIDE1191</t>
  </si>
  <si>
    <t>RIDE1192</t>
  </si>
  <si>
    <t>RIDE1193</t>
  </si>
  <si>
    <t>RIDE1194</t>
  </si>
  <si>
    <t>RIDE1195</t>
  </si>
  <si>
    <t>RIDE1196</t>
  </si>
  <si>
    <t>RIDE1197</t>
  </si>
  <si>
    <t>RIDE1198</t>
  </si>
  <si>
    <t>RIDE1199</t>
  </si>
  <si>
    <t>RIDE1200</t>
  </si>
  <si>
    <t>RIDE1201</t>
  </si>
  <si>
    <t>RIDE1202</t>
  </si>
  <si>
    <t>RIDE1203</t>
  </si>
  <si>
    <t>RIDE1204</t>
  </si>
  <si>
    <t>RIDE1205</t>
  </si>
  <si>
    <t>RIDE1206</t>
  </si>
  <si>
    <t>RIDE1207</t>
  </si>
  <si>
    <t>RIDE1208</t>
  </si>
  <si>
    <t>RIDE1209</t>
  </si>
  <si>
    <t>RIDE1210</t>
  </si>
  <si>
    <t>RIDE1211</t>
  </si>
  <si>
    <t>RIDE1212</t>
  </si>
  <si>
    <t>RIDE1213</t>
  </si>
  <si>
    <t>RIDE1214</t>
  </si>
  <si>
    <t>RIDE1215</t>
  </si>
  <si>
    <t>RIDE1216</t>
  </si>
  <si>
    <t>RIDE1217</t>
  </si>
  <si>
    <t>RIDE1218</t>
  </si>
  <si>
    <t>RIDE1219</t>
  </si>
  <si>
    <t>RIDE1220</t>
  </si>
  <si>
    <t>RIDE1221</t>
  </si>
  <si>
    <t>RIDE1222</t>
  </si>
  <si>
    <t>RIDE1223</t>
  </si>
  <si>
    <t>RIDE1224</t>
  </si>
  <si>
    <t>RIDE1225</t>
  </si>
  <si>
    <t>RIDE1226</t>
  </si>
  <si>
    <t>RIDE1227</t>
  </si>
  <si>
    <t>RIDE1228</t>
  </si>
  <si>
    <t>RIDE1229</t>
  </si>
  <si>
    <t>RIDE1230</t>
  </si>
  <si>
    <t>11:40</t>
  </si>
  <si>
    <t>RIDE1231</t>
  </si>
  <si>
    <t>RIDE1232</t>
  </si>
  <si>
    <t>RIDE1233</t>
  </si>
  <si>
    <t>RIDE1234</t>
  </si>
  <si>
    <t>RIDE1235</t>
  </si>
  <si>
    <t>RIDE1236</t>
  </si>
  <si>
    <t>RIDE1237</t>
  </si>
  <si>
    <t>RIDE1238</t>
  </si>
  <si>
    <t>RIDE1239</t>
  </si>
  <si>
    <t>RIDE1240</t>
  </si>
  <si>
    <t>RIDE1241</t>
  </si>
  <si>
    <t>RIDE1242</t>
  </si>
  <si>
    <t>RIDE1243</t>
  </si>
  <si>
    <t>RIDE1244</t>
  </si>
  <si>
    <t>RIDE1245</t>
  </si>
  <si>
    <t>RIDE1246</t>
  </si>
  <si>
    <t>RIDE1247</t>
  </si>
  <si>
    <t>RIDE1248</t>
  </si>
  <si>
    <t>RIDE1249</t>
  </si>
  <si>
    <t>RIDE1250</t>
  </si>
  <si>
    <t>RIDE1251</t>
  </si>
  <si>
    <t>RIDE1252</t>
  </si>
  <si>
    <t>RIDE1253</t>
  </si>
  <si>
    <t>RIDE1254</t>
  </si>
  <si>
    <t>RIDE1255</t>
  </si>
  <si>
    <t>RIDE1256</t>
  </si>
  <si>
    <t>RIDE1257</t>
  </si>
  <si>
    <t>RIDE1258</t>
  </si>
  <si>
    <t>RIDE1259</t>
  </si>
  <si>
    <t>RIDE1260</t>
  </si>
  <si>
    <t>RIDE1261</t>
  </si>
  <si>
    <t>RIDE1262</t>
  </si>
  <si>
    <t>RIDE1263</t>
  </si>
  <si>
    <t>RIDE1264</t>
  </si>
  <si>
    <t>RIDE1265</t>
  </si>
  <si>
    <t>RIDE1266</t>
  </si>
  <si>
    <t>RIDE1267</t>
  </si>
  <si>
    <t>RIDE1268</t>
  </si>
  <si>
    <t>RIDE1269</t>
  </si>
  <si>
    <t>RIDE1270</t>
  </si>
  <si>
    <t>RIDE1271</t>
  </si>
  <si>
    <t>RIDE1272</t>
  </si>
  <si>
    <t>RIDE1273</t>
  </si>
  <si>
    <t>RIDE1274</t>
  </si>
  <si>
    <t>RIDE1275</t>
  </si>
  <si>
    <t>RIDE1276</t>
  </si>
  <si>
    <t>RIDE1277</t>
  </si>
  <si>
    <t>RIDE1278</t>
  </si>
  <si>
    <t>RIDE1279</t>
  </si>
  <si>
    <t>RIDE1280</t>
  </si>
  <si>
    <t>RIDE1281</t>
  </si>
  <si>
    <t>RIDE1282</t>
  </si>
  <si>
    <t>RIDE1283</t>
  </si>
  <si>
    <t>RIDE1284</t>
  </si>
  <si>
    <t>RIDE1285</t>
  </si>
  <si>
    <t>RIDE1286</t>
  </si>
  <si>
    <t>RIDE1287</t>
  </si>
  <si>
    <t>RIDE1288</t>
  </si>
  <si>
    <t>RIDE1289</t>
  </si>
  <si>
    <t>RIDE1290</t>
  </si>
  <si>
    <t>RIDE1291</t>
  </si>
  <si>
    <t>RIDE1292</t>
  </si>
  <si>
    <t>RIDE1293</t>
  </si>
  <si>
    <t>RIDE1294</t>
  </si>
  <si>
    <t>11:45</t>
  </si>
  <si>
    <t>RIDE1295</t>
  </si>
  <si>
    <t>RIDE1296</t>
  </si>
  <si>
    <t>RIDE1297</t>
  </si>
  <si>
    <t>RIDE1298</t>
  </si>
  <si>
    <t>RIDE1299</t>
  </si>
  <si>
    <t>RIDE1300</t>
  </si>
  <si>
    <t>RIDE1301</t>
  </si>
  <si>
    <t>RIDE1302</t>
  </si>
  <si>
    <t>RIDE1303</t>
  </si>
  <si>
    <t>RIDE1304</t>
  </si>
  <si>
    <t>RIDE1305</t>
  </si>
  <si>
    <t>RIDE1306</t>
  </si>
  <si>
    <t>RIDE1307</t>
  </si>
  <si>
    <t>RIDE1308</t>
  </si>
  <si>
    <t>RIDE1309</t>
  </si>
  <si>
    <t>RIDE1310</t>
  </si>
  <si>
    <t>RIDE1311</t>
  </si>
  <si>
    <t>RIDE1312</t>
  </si>
  <si>
    <t>RIDE1313</t>
  </si>
  <si>
    <t>RIDE1314</t>
  </si>
  <si>
    <t>RIDE1315</t>
  </si>
  <si>
    <t>RIDE1316</t>
  </si>
  <si>
    <t>RIDE1317</t>
  </si>
  <si>
    <t>RIDE1318</t>
  </si>
  <si>
    <t>RIDE1319</t>
  </si>
  <si>
    <t>RIDE1320</t>
  </si>
  <si>
    <t>RIDE1321</t>
  </si>
  <si>
    <t>RIDE1322</t>
  </si>
  <si>
    <t>RIDE1323</t>
  </si>
  <si>
    <t>RIDE1324</t>
  </si>
  <si>
    <t>RIDE1325</t>
  </si>
  <si>
    <t>RIDE1326</t>
  </si>
  <si>
    <t>RIDE1327</t>
  </si>
  <si>
    <t>RIDE1328</t>
  </si>
  <si>
    <t>RIDE1329</t>
  </si>
  <si>
    <t>RIDE1330</t>
  </si>
  <si>
    <t>RIDE1331</t>
  </si>
  <si>
    <t>RIDE1332</t>
  </si>
  <si>
    <t>RIDE1333</t>
  </si>
  <si>
    <t>RIDE1334</t>
  </si>
  <si>
    <t>RIDE1335</t>
  </si>
  <si>
    <t>RIDE1336</t>
  </si>
  <si>
    <t>RIDE1337</t>
  </si>
  <si>
    <t>RIDE1338</t>
  </si>
  <si>
    <t>RIDE1339</t>
  </si>
  <si>
    <t>RIDE1340</t>
  </si>
  <si>
    <t>RIDE1341</t>
  </si>
  <si>
    <t>RIDE1342</t>
  </si>
  <si>
    <t>RIDE1343</t>
  </si>
  <si>
    <t>RIDE1344</t>
  </si>
  <si>
    <t>RIDE1345</t>
  </si>
  <si>
    <t>RIDE1346</t>
  </si>
  <si>
    <t>RIDE1347</t>
  </si>
  <si>
    <t>RIDE1348</t>
  </si>
  <si>
    <t>RIDE1349</t>
  </si>
  <si>
    <t>RIDE1350</t>
  </si>
  <si>
    <t>RIDE1351</t>
  </si>
  <si>
    <t>RIDE1352</t>
  </si>
  <si>
    <t>RIDE1353</t>
  </si>
  <si>
    <t>RIDE1354</t>
  </si>
  <si>
    <t>RIDE1355</t>
  </si>
  <si>
    <t>RIDE1356</t>
  </si>
  <si>
    <t>RIDE1357</t>
  </si>
  <si>
    <t>RIDE1358</t>
  </si>
  <si>
    <t>RIDE1359</t>
  </si>
  <si>
    <t>RIDE1360</t>
  </si>
  <si>
    <t>RIDE1361</t>
  </si>
  <si>
    <t>RIDE1362</t>
  </si>
  <si>
    <t>RIDE1363</t>
  </si>
  <si>
    <t>RIDE1364</t>
  </si>
  <si>
    <t>RIDE1365</t>
  </si>
  <si>
    <t>RIDE1366</t>
  </si>
  <si>
    <t>RIDE1367</t>
  </si>
  <si>
    <t>RIDE1368</t>
  </si>
  <si>
    <t>RIDE1369</t>
  </si>
  <si>
    <t>RIDE1370</t>
  </si>
  <si>
    <t>RIDE1371</t>
  </si>
  <si>
    <t>RIDE1372</t>
  </si>
  <si>
    <t>RIDE1373</t>
  </si>
  <si>
    <t>11:50</t>
  </si>
  <si>
    <t>RIDE1374</t>
  </si>
  <si>
    <t>RIDE1375</t>
  </si>
  <si>
    <t>RIDE1376</t>
  </si>
  <si>
    <t>RIDE1377</t>
  </si>
  <si>
    <t>RIDE1378</t>
  </si>
  <si>
    <t>RIDE1379</t>
  </si>
  <si>
    <t>RIDE1380</t>
  </si>
  <si>
    <t>RIDE1381</t>
  </si>
  <si>
    <t>RIDE1382</t>
  </si>
  <si>
    <t>RIDE1383</t>
  </si>
  <si>
    <t>RIDE1384</t>
  </si>
  <si>
    <t>RIDE1385</t>
  </si>
  <si>
    <t>RIDE1386</t>
  </si>
  <si>
    <t>RIDE1387</t>
  </si>
  <si>
    <t>RIDE1388</t>
  </si>
  <si>
    <t>RIDE1389</t>
  </si>
  <si>
    <t>RIDE1390</t>
  </si>
  <si>
    <t>RIDE1391</t>
  </si>
  <si>
    <t>RIDE1392</t>
  </si>
  <si>
    <t>RIDE1393</t>
  </si>
  <si>
    <t>RIDE1394</t>
  </si>
  <si>
    <t>RIDE1395</t>
  </si>
  <si>
    <t>RIDE1396</t>
  </si>
  <si>
    <t>RIDE1397</t>
  </si>
  <si>
    <t>RIDE1398</t>
  </si>
  <si>
    <t>RIDE1399</t>
  </si>
  <si>
    <t>RIDE1400</t>
  </si>
  <si>
    <t>RIDE1401</t>
  </si>
  <si>
    <t>RIDE1402</t>
  </si>
  <si>
    <t>RIDE1403</t>
  </si>
  <si>
    <t>RIDE1404</t>
  </si>
  <si>
    <t>RIDE1405</t>
  </si>
  <si>
    <t>RIDE1406</t>
  </si>
  <si>
    <t>RIDE1407</t>
  </si>
  <si>
    <t>RIDE1408</t>
  </si>
  <si>
    <t>RIDE1409</t>
  </si>
  <si>
    <t>RIDE1410</t>
  </si>
  <si>
    <t>RIDE1411</t>
  </si>
  <si>
    <t>RIDE1412</t>
  </si>
  <si>
    <t>RIDE1413</t>
  </si>
  <si>
    <t>RIDE1414</t>
  </si>
  <si>
    <t>RIDE1415</t>
  </si>
  <si>
    <t>RIDE1416</t>
  </si>
  <si>
    <t>RIDE1417</t>
  </si>
  <si>
    <t>RIDE1418</t>
  </si>
  <si>
    <t>RIDE1419</t>
  </si>
  <si>
    <t>RIDE1420</t>
  </si>
  <si>
    <t>RIDE1421</t>
  </si>
  <si>
    <t>RIDE1422</t>
  </si>
  <si>
    <t>RIDE1423</t>
  </si>
  <si>
    <t>RIDE1424</t>
  </si>
  <si>
    <t>RIDE1425</t>
  </si>
  <si>
    <t>RIDE1426</t>
  </si>
  <si>
    <t>RIDE1427</t>
  </si>
  <si>
    <t>RIDE1428</t>
  </si>
  <si>
    <t>RIDE1429</t>
  </si>
  <si>
    <t>RIDE1430</t>
  </si>
  <si>
    <t>RIDE1431</t>
  </si>
  <si>
    <t>RIDE1432</t>
  </si>
  <si>
    <t>RIDE1433</t>
  </si>
  <si>
    <t>RIDE1434</t>
  </si>
  <si>
    <t>RIDE1435</t>
  </si>
  <si>
    <t>RIDE1436</t>
  </si>
  <si>
    <t>11:55</t>
  </si>
  <si>
    <t>RIDE1437</t>
  </si>
  <si>
    <t>RIDE1438</t>
  </si>
  <si>
    <t>RIDE1439</t>
  </si>
  <si>
    <t>RIDE1440</t>
  </si>
  <si>
    <t>RIDE1441</t>
  </si>
  <si>
    <t>RIDE1442</t>
  </si>
  <si>
    <t>RIDE1443</t>
  </si>
  <si>
    <t>RIDE1444</t>
  </si>
  <si>
    <t>RIDE1445</t>
  </si>
  <si>
    <t>RIDE1446</t>
  </si>
  <si>
    <t>RIDE1447</t>
  </si>
  <si>
    <t>RIDE1448</t>
  </si>
  <si>
    <t>RIDE1449</t>
  </si>
  <si>
    <t>RIDE1450</t>
  </si>
  <si>
    <t>RIDE1451</t>
  </si>
  <si>
    <t>RIDE1452</t>
  </si>
  <si>
    <t>RIDE1453</t>
  </si>
  <si>
    <t>RIDE1454</t>
  </si>
  <si>
    <t>RIDE1455</t>
  </si>
  <si>
    <t>RIDE1456</t>
  </si>
  <si>
    <t>RIDE1457</t>
  </si>
  <si>
    <t>RIDE1458</t>
  </si>
  <si>
    <t>RIDE1459</t>
  </si>
  <si>
    <t>RIDE1460</t>
  </si>
  <si>
    <t>RIDE1461</t>
  </si>
  <si>
    <t>RIDE1462</t>
  </si>
  <si>
    <t>RIDE1463</t>
  </si>
  <si>
    <t>RIDE1464</t>
  </si>
  <si>
    <t>RIDE1465</t>
  </si>
  <si>
    <t>RIDE1466</t>
  </si>
  <si>
    <t>RIDE1467</t>
  </si>
  <si>
    <t>RIDE1468</t>
  </si>
  <si>
    <t>RIDE1469</t>
  </si>
  <si>
    <t>RIDE1470</t>
  </si>
  <si>
    <t>RIDE1471</t>
  </si>
  <si>
    <t>RIDE1472</t>
  </si>
  <si>
    <t>RIDE1473</t>
  </si>
  <si>
    <t>RIDE1474</t>
  </si>
  <si>
    <t>RIDE1475</t>
  </si>
  <si>
    <t>RIDE1476</t>
  </si>
  <si>
    <t>RIDE1477</t>
  </si>
  <si>
    <t>RIDE1478</t>
  </si>
  <si>
    <t>RIDE1479</t>
  </si>
  <si>
    <t>RIDE1480</t>
  </si>
  <si>
    <t>RIDE1481</t>
  </si>
  <si>
    <t>RIDE1482</t>
  </si>
  <si>
    <t>RIDE1483</t>
  </si>
  <si>
    <t>RIDE1484</t>
  </si>
  <si>
    <t>RIDE1485</t>
  </si>
  <si>
    <t>RIDE1486</t>
  </si>
  <si>
    <t>RIDE1487</t>
  </si>
  <si>
    <t>RIDE1488</t>
  </si>
  <si>
    <t>RIDE1489</t>
  </si>
  <si>
    <t>RIDE1490</t>
  </si>
  <si>
    <t>RIDE1491</t>
  </si>
  <si>
    <t>RIDE1492</t>
  </si>
  <si>
    <t>RIDE1493</t>
  </si>
  <si>
    <t>RIDE1494</t>
  </si>
  <si>
    <t>RIDE1495</t>
  </si>
  <si>
    <t>RIDE1496</t>
  </si>
  <si>
    <t>RIDE1497</t>
  </si>
  <si>
    <t>RIDE1498</t>
  </si>
  <si>
    <t>RIDE1499</t>
  </si>
  <si>
    <t>RIDE1500</t>
  </si>
  <si>
    <t>RIDE1501</t>
  </si>
  <si>
    <t>RIDE1502</t>
  </si>
  <si>
    <t>RIDE1503</t>
  </si>
  <si>
    <t>RIDE1504</t>
  </si>
  <si>
    <t>RIDE1505</t>
  </si>
  <si>
    <t>RIDE1506</t>
  </si>
  <si>
    <t>RIDE1507</t>
  </si>
  <si>
    <t>RIDE1508</t>
  </si>
  <si>
    <t>RIDE1509</t>
  </si>
  <si>
    <t>12:00</t>
  </si>
  <si>
    <t>RIDE1510</t>
  </si>
  <si>
    <t>RIDE1511</t>
  </si>
  <si>
    <t>RIDE1512</t>
  </si>
  <si>
    <t>RIDE1513</t>
  </si>
  <si>
    <t>RIDE1514</t>
  </si>
  <si>
    <t>RIDE1515</t>
  </si>
  <si>
    <t>RIDE1516</t>
  </si>
  <si>
    <t>RIDE1517</t>
  </si>
  <si>
    <t>RIDE1518</t>
  </si>
  <si>
    <t>RIDE1519</t>
  </si>
  <si>
    <t>RIDE1520</t>
  </si>
  <si>
    <t>RIDE1521</t>
  </si>
  <si>
    <t>RIDE1522</t>
  </si>
  <si>
    <t>RIDE1523</t>
  </si>
  <si>
    <t>RIDE1524</t>
  </si>
  <si>
    <t>RIDE1525</t>
  </si>
  <si>
    <t>RIDE1526</t>
  </si>
  <si>
    <t>RIDE1527</t>
  </si>
  <si>
    <t>RIDE1528</t>
  </si>
  <si>
    <t>RIDE1529</t>
  </si>
  <si>
    <t>RIDE1530</t>
  </si>
  <si>
    <t>RIDE1531</t>
  </si>
  <si>
    <t>RIDE1532</t>
  </si>
  <si>
    <t>RIDE1533</t>
  </si>
  <si>
    <t>RIDE1534</t>
  </si>
  <si>
    <t>RIDE1535</t>
  </si>
  <si>
    <t>RIDE1536</t>
  </si>
  <si>
    <t>RIDE1537</t>
  </si>
  <si>
    <t>RIDE1538</t>
  </si>
  <si>
    <t>RIDE1539</t>
  </si>
  <si>
    <t>RIDE1540</t>
  </si>
  <si>
    <t>RIDE1541</t>
  </si>
  <si>
    <t>RIDE1542</t>
  </si>
  <si>
    <t>RIDE1543</t>
  </si>
  <si>
    <t>RIDE1544</t>
  </si>
  <si>
    <t>RIDE1545</t>
  </si>
  <si>
    <t>RIDE1546</t>
  </si>
  <si>
    <t>RIDE1547</t>
  </si>
  <si>
    <t>RIDE1548</t>
  </si>
  <si>
    <t>RIDE1549</t>
  </si>
  <si>
    <t>RIDE1550</t>
  </si>
  <si>
    <t>RIDE1551</t>
  </si>
  <si>
    <t>RIDE1552</t>
  </si>
  <si>
    <t>RIDE1553</t>
  </si>
  <si>
    <t>RIDE1554</t>
  </si>
  <si>
    <t>RIDE1555</t>
  </si>
  <si>
    <t>RIDE1556</t>
  </si>
  <si>
    <t>RIDE1557</t>
  </si>
  <si>
    <t>RIDE1558</t>
  </si>
  <si>
    <t>RIDE1559</t>
  </si>
  <si>
    <t>RIDE1560</t>
  </si>
  <si>
    <t>RIDE1561</t>
  </si>
  <si>
    <t>RIDE1562</t>
  </si>
  <si>
    <t>RIDE1563</t>
  </si>
  <si>
    <t>RIDE1564</t>
  </si>
  <si>
    <t>RIDE1565</t>
  </si>
  <si>
    <t>RIDE1566</t>
  </si>
  <si>
    <t>RIDE1567</t>
  </si>
  <si>
    <t>RIDE1568</t>
  </si>
  <si>
    <t>RIDE1569</t>
  </si>
  <si>
    <t>RIDE1570</t>
  </si>
  <si>
    <t>RIDE1571</t>
  </si>
  <si>
    <t>RIDE1572</t>
  </si>
  <si>
    <t>RIDE1573</t>
  </si>
  <si>
    <t>12:05</t>
  </si>
  <si>
    <t>RIDE1574</t>
  </si>
  <si>
    <t>RIDE1575</t>
  </si>
  <si>
    <t>RIDE1576</t>
  </si>
  <si>
    <t>RIDE1577</t>
  </si>
  <si>
    <t>RIDE1578</t>
  </si>
  <si>
    <t>RIDE1579</t>
  </si>
  <si>
    <t>RIDE1580</t>
  </si>
  <si>
    <t>RIDE1581</t>
  </si>
  <si>
    <t>RIDE1582</t>
  </si>
  <si>
    <t>RIDE1583</t>
  </si>
  <si>
    <t>RIDE1584</t>
  </si>
  <si>
    <t>RIDE1585</t>
  </si>
  <si>
    <t>RIDE1586</t>
  </si>
  <si>
    <t>RIDE1587</t>
  </si>
  <si>
    <t>RIDE1588</t>
  </si>
  <si>
    <t>RIDE1589</t>
  </si>
  <si>
    <t>RIDE1590</t>
  </si>
  <si>
    <t>RIDE1591</t>
  </si>
  <si>
    <t>RIDE1592</t>
  </si>
  <si>
    <t>RIDE1593</t>
  </si>
  <si>
    <t>RIDE1594</t>
  </si>
  <si>
    <t>RIDE1595</t>
  </si>
  <si>
    <t>RIDE1596</t>
  </si>
  <si>
    <t>RIDE1597</t>
  </si>
  <si>
    <t>RIDE1598</t>
  </si>
  <si>
    <t>RIDE1599</t>
  </si>
  <si>
    <t>RIDE1600</t>
  </si>
  <si>
    <t>RIDE1601</t>
  </si>
  <si>
    <t>RIDE1602</t>
  </si>
  <si>
    <t>RIDE1603</t>
  </si>
  <si>
    <t>RIDE1604</t>
  </si>
  <si>
    <t>RIDE1605</t>
  </si>
  <si>
    <t>RIDE1606</t>
  </si>
  <si>
    <t>RIDE1607</t>
  </si>
  <si>
    <t>RIDE1608</t>
  </si>
  <si>
    <t>RIDE1609</t>
  </si>
  <si>
    <t>RIDE1610</t>
  </si>
  <si>
    <t>RIDE1611</t>
  </si>
  <si>
    <t>RIDE1612</t>
  </si>
  <si>
    <t>RIDE1613</t>
  </si>
  <si>
    <t>RIDE1614</t>
  </si>
  <si>
    <t>RIDE1615</t>
  </si>
  <si>
    <t>RIDE1616</t>
  </si>
  <si>
    <t>RIDE1617</t>
  </si>
  <si>
    <t>RIDE1618</t>
  </si>
  <si>
    <t>RIDE1619</t>
  </si>
  <si>
    <t>RIDE1620</t>
  </si>
  <si>
    <t>RIDE1621</t>
  </si>
  <si>
    <t>RIDE1622</t>
  </si>
  <si>
    <t>RIDE1623</t>
  </si>
  <si>
    <t>RIDE1624</t>
  </si>
  <si>
    <t>RIDE1625</t>
  </si>
  <si>
    <t>RIDE1626</t>
  </si>
  <si>
    <t>RIDE1627</t>
  </si>
  <si>
    <t>RIDE1628</t>
  </si>
  <si>
    <t>RIDE1629</t>
  </si>
  <si>
    <t>RIDE1630</t>
  </si>
  <si>
    <t>RIDE1631</t>
  </si>
  <si>
    <t>RIDE1632</t>
  </si>
  <si>
    <t>RIDE1633</t>
  </si>
  <si>
    <t>RIDE1634</t>
  </si>
  <si>
    <t>RIDE1635</t>
  </si>
  <si>
    <t>RIDE1636</t>
  </si>
  <si>
    <t>RIDE1637</t>
  </si>
  <si>
    <t>RIDE1638</t>
  </si>
  <si>
    <t>RIDE1639</t>
  </si>
  <si>
    <t>RIDE1640</t>
  </si>
  <si>
    <t>12:10</t>
  </si>
  <si>
    <t>RIDE1641</t>
  </si>
  <si>
    <t>RIDE1642</t>
  </si>
  <si>
    <t>RIDE1643</t>
  </si>
  <si>
    <t>RIDE1644</t>
  </si>
  <si>
    <t>RIDE1645</t>
  </si>
  <si>
    <t>RIDE1646</t>
  </si>
  <si>
    <t>RIDE1647</t>
  </si>
  <si>
    <t>RIDE1648</t>
  </si>
  <si>
    <t>RIDE1649</t>
  </si>
  <si>
    <t>RIDE1650</t>
  </si>
  <si>
    <t>RIDE1651</t>
  </si>
  <si>
    <t>RIDE1652</t>
  </si>
  <si>
    <t>RIDE1653</t>
  </si>
  <si>
    <t>RIDE1654</t>
  </si>
  <si>
    <t>RIDE1655</t>
  </si>
  <si>
    <t>RIDE1656</t>
  </si>
  <si>
    <t>RIDE1657</t>
  </si>
  <si>
    <t>RIDE1658</t>
  </si>
  <si>
    <t>RIDE1659</t>
  </si>
  <si>
    <t>RIDE1660</t>
  </si>
  <si>
    <t>RIDE1661</t>
  </si>
  <si>
    <t>RIDE1662</t>
  </si>
  <si>
    <t>RIDE1663</t>
  </si>
  <si>
    <t>RIDE1664</t>
  </si>
  <si>
    <t>RIDE1665</t>
  </si>
  <si>
    <t>RIDE1666</t>
  </si>
  <si>
    <t>RIDE1667</t>
  </si>
  <si>
    <t>RIDE1668</t>
  </si>
  <si>
    <t>RIDE1669</t>
  </si>
  <si>
    <t>RIDE1670</t>
  </si>
  <si>
    <t>RIDE1671</t>
  </si>
  <si>
    <t>RIDE1672</t>
  </si>
  <si>
    <t>RIDE1673</t>
  </si>
  <si>
    <t>RIDE1674</t>
  </si>
  <si>
    <t>RIDE1675</t>
  </si>
  <si>
    <t>RIDE1676</t>
  </si>
  <si>
    <t>RIDE1677</t>
  </si>
  <si>
    <t>RIDE1678</t>
  </si>
  <si>
    <t>RIDE1679</t>
  </si>
  <si>
    <t>RIDE1680</t>
  </si>
  <si>
    <t>RIDE1681</t>
  </si>
  <si>
    <t>RIDE1682</t>
  </si>
  <si>
    <t>RIDE1683</t>
  </si>
  <si>
    <t>RIDE1684</t>
  </si>
  <si>
    <t>RIDE1685</t>
  </si>
  <si>
    <t>RIDE1686</t>
  </si>
  <si>
    <t>RIDE1687</t>
  </si>
  <si>
    <t>RIDE1688</t>
  </si>
  <si>
    <t>RIDE1689</t>
  </si>
  <si>
    <t>RIDE1690</t>
  </si>
  <si>
    <t>RIDE1691</t>
  </si>
  <si>
    <t>RIDE1692</t>
  </si>
  <si>
    <t>RIDE1693</t>
  </si>
  <si>
    <t>RIDE1694</t>
  </si>
  <si>
    <t>RIDE1695</t>
  </si>
  <si>
    <t>RIDE1696</t>
  </si>
  <si>
    <t>RIDE1697</t>
  </si>
  <si>
    <t>RIDE1698</t>
  </si>
  <si>
    <t>RIDE1699</t>
  </si>
  <si>
    <t>RIDE1700</t>
  </si>
  <si>
    <t>RIDE1701</t>
  </si>
  <si>
    <t>RIDE1702</t>
  </si>
  <si>
    <t>RIDE1703</t>
  </si>
  <si>
    <t>RIDE1704</t>
  </si>
  <si>
    <t>RIDE1705</t>
  </si>
  <si>
    <t>RIDE1706</t>
  </si>
  <si>
    <t>RIDE1707</t>
  </si>
  <si>
    <t>RIDE1708</t>
  </si>
  <si>
    <t>RIDE1709</t>
  </si>
  <si>
    <t>RIDE1710</t>
  </si>
  <si>
    <t>RIDE1711</t>
  </si>
  <si>
    <t>RIDE1712</t>
  </si>
  <si>
    <t>RIDE1713</t>
  </si>
  <si>
    <t>RIDE1714</t>
  </si>
  <si>
    <t>RIDE1715</t>
  </si>
  <si>
    <t>RIDE1716</t>
  </si>
  <si>
    <t>RIDE1717</t>
  </si>
  <si>
    <t>12:15</t>
  </si>
  <si>
    <t>RIDE1718</t>
  </si>
  <si>
    <t>RIDE1719</t>
  </si>
  <si>
    <t>RIDE1720</t>
  </si>
  <si>
    <t>RIDE1721</t>
  </si>
  <si>
    <t>RIDE1722</t>
  </si>
  <si>
    <t>RIDE1723</t>
  </si>
  <si>
    <t>RIDE1724</t>
  </si>
  <si>
    <t>RIDE1725</t>
  </si>
  <si>
    <t>RIDE1726</t>
  </si>
  <si>
    <t>RIDE1727</t>
  </si>
  <si>
    <t>RIDE1728</t>
  </si>
  <si>
    <t>RIDE1729</t>
  </si>
  <si>
    <t>RIDE1730</t>
  </si>
  <si>
    <t>RIDE1731</t>
  </si>
  <si>
    <t>RIDE1732</t>
  </si>
  <si>
    <t>RIDE1733</t>
  </si>
  <si>
    <t>RIDE1734</t>
  </si>
  <si>
    <t>RIDE1735</t>
  </si>
  <si>
    <t>RIDE1736</t>
  </si>
  <si>
    <t>RIDE1737</t>
  </si>
  <si>
    <t>RIDE1738</t>
  </si>
  <si>
    <t>RIDE1739</t>
  </si>
  <si>
    <t>RIDE1740</t>
  </si>
  <si>
    <t>RIDE1741</t>
  </si>
  <si>
    <t>RIDE1742</t>
  </si>
  <si>
    <t>RIDE1743</t>
  </si>
  <si>
    <t>RIDE1744</t>
  </si>
  <si>
    <t>RIDE1745</t>
  </si>
  <si>
    <t>RIDE1746</t>
  </si>
  <si>
    <t>RIDE1747</t>
  </si>
  <si>
    <t>RIDE1748</t>
  </si>
  <si>
    <t>RIDE1749</t>
  </si>
  <si>
    <t>RIDE1750</t>
  </si>
  <si>
    <t>RIDE1751</t>
  </si>
  <si>
    <t>RIDE1752</t>
  </si>
  <si>
    <t>RIDE1753</t>
  </si>
  <si>
    <t>RIDE1754</t>
  </si>
  <si>
    <t>RIDE1755</t>
  </si>
  <si>
    <t>RIDE1756</t>
  </si>
  <si>
    <t>RIDE1757</t>
  </si>
  <si>
    <t>RIDE1758</t>
  </si>
  <si>
    <t>RIDE1759</t>
  </si>
  <si>
    <t>RIDE1760</t>
  </si>
  <si>
    <t>RIDE1761</t>
  </si>
  <si>
    <t>RIDE1762</t>
  </si>
  <si>
    <t>RIDE1763</t>
  </si>
  <si>
    <t>RIDE1764</t>
  </si>
  <si>
    <t>RIDE1765</t>
  </si>
  <si>
    <t>RIDE1766</t>
  </si>
  <si>
    <t>RIDE1767</t>
  </si>
  <si>
    <t>RIDE1768</t>
  </si>
  <si>
    <t>12:20</t>
  </si>
  <si>
    <t>RIDE1769</t>
  </si>
  <si>
    <t>RIDE1770</t>
  </si>
  <si>
    <t>RIDE1771</t>
  </si>
  <si>
    <t>RIDE1772</t>
  </si>
  <si>
    <t>RIDE1773</t>
  </si>
  <si>
    <t>RIDE1774</t>
  </si>
  <si>
    <t>RIDE1775</t>
  </si>
  <si>
    <t>RIDE1776</t>
  </si>
  <si>
    <t>RIDE1777</t>
  </si>
  <si>
    <t>RIDE1778</t>
  </si>
  <si>
    <t>RIDE1779</t>
  </si>
  <si>
    <t>RIDE1780</t>
  </si>
  <si>
    <t>RIDE1781</t>
  </si>
  <si>
    <t>RIDE1782</t>
  </si>
  <si>
    <t>RIDE1783</t>
  </si>
  <si>
    <t>RIDE1784</t>
  </si>
  <si>
    <t>RIDE1785</t>
  </si>
  <si>
    <t>RIDE1786</t>
  </si>
  <si>
    <t>RIDE1787</t>
  </si>
  <si>
    <t>RIDE1788</t>
  </si>
  <si>
    <t>RIDE1789</t>
  </si>
  <si>
    <t>RIDE1790</t>
  </si>
  <si>
    <t>RIDE1791</t>
  </si>
  <si>
    <t>RIDE1792</t>
  </si>
  <si>
    <t>RIDE1793</t>
  </si>
  <si>
    <t>RIDE1794</t>
  </si>
  <si>
    <t>RIDE1795</t>
  </si>
  <si>
    <t>RIDE1796</t>
  </si>
  <si>
    <t>RIDE1797</t>
  </si>
  <si>
    <t>RIDE1798</t>
  </si>
  <si>
    <t>RIDE1799</t>
  </si>
  <si>
    <t>RIDE1800</t>
  </si>
  <si>
    <t>RIDE1801</t>
  </si>
  <si>
    <t>RIDE1802</t>
  </si>
  <si>
    <t>RIDE1803</t>
  </si>
  <si>
    <t>RIDE1804</t>
  </si>
  <si>
    <t>RIDE1805</t>
  </si>
  <si>
    <t>RIDE1806</t>
  </si>
  <si>
    <t>RIDE1807</t>
  </si>
  <si>
    <t>RIDE1808</t>
  </si>
  <si>
    <t>RIDE1809</t>
  </si>
  <si>
    <t>RIDE1810</t>
  </si>
  <si>
    <t>RIDE1811</t>
  </si>
  <si>
    <t>RIDE1812</t>
  </si>
  <si>
    <t>RIDE1813</t>
  </si>
  <si>
    <t>RIDE1814</t>
  </si>
  <si>
    <t>RIDE1815</t>
  </si>
  <si>
    <t>RIDE1816</t>
  </si>
  <si>
    <t>RIDE1817</t>
  </si>
  <si>
    <t>RIDE1818</t>
  </si>
  <si>
    <t>RIDE1819</t>
  </si>
  <si>
    <t>RIDE1820</t>
  </si>
  <si>
    <t>RIDE1821</t>
  </si>
  <si>
    <t>RIDE1822</t>
  </si>
  <si>
    <t>RIDE1823</t>
  </si>
  <si>
    <t>RIDE1824</t>
  </si>
  <si>
    <t>RIDE1825</t>
  </si>
  <si>
    <t>RIDE1826</t>
  </si>
  <si>
    <t>RIDE1827</t>
  </si>
  <si>
    <t>RIDE1828</t>
  </si>
  <si>
    <t>RIDE1829</t>
  </si>
  <si>
    <t>RIDE1830</t>
  </si>
  <si>
    <t>RIDE1831</t>
  </si>
  <si>
    <t>RIDE1832</t>
  </si>
  <si>
    <t>RIDE1833</t>
  </si>
  <si>
    <t>RIDE1834</t>
  </si>
  <si>
    <t>RIDE1835</t>
  </si>
  <si>
    <t>RIDE1836</t>
  </si>
  <si>
    <t>RIDE1837</t>
  </si>
  <si>
    <t>RIDE1838</t>
  </si>
  <si>
    <t>RIDE1839</t>
  </si>
  <si>
    <t>RIDE1840</t>
  </si>
  <si>
    <t>RIDE1841</t>
  </si>
  <si>
    <t>RIDE1842</t>
  </si>
  <si>
    <t>RIDE1843</t>
  </si>
  <si>
    <t>RIDE1844</t>
  </si>
  <si>
    <t>RIDE1845</t>
  </si>
  <si>
    <t>RIDE1846</t>
  </si>
  <si>
    <t>RIDE1847</t>
  </si>
  <si>
    <t>RIDE1848</t>
  </si>
  <si>
    <t>RIDE1849</t>
  </si>
  <si>
    <t>RIDE1850</t>
  </si>
  <si>
    <t>RIDE1851</t>
  </si>
  <si>
    <t>RIDE1852</t>
  </si>
  <si>
    <t>RIDE1853</t>
  </si>
  <si>
    <t>RIDE1854</t>
  </si>
  <si>
    <t>RIDE1855</t>
  </si>
  <si>
    <t>RIDE1856</t>
  </si>
  <si>
    <t>RIDE1857</t>
  </si>
  <si>
    <t>RIDE1858</t>
  </si>
  <si>
    <t>RIDE1859</t>
  </si>
  <si>
    <t>RIDE1860</t>
  </si>
  <si>
    <t>12:25</t>
  </si>
  <si>
    <t>RIDE1861</t>
  </si>
  <si>
    <t>RIDE1862</t>
  </si>
  <si>
    <t>RIDE1863</t>
  </si>
  <si>
    <t>RIDE1864</t>
  </si>
  <si>
    <t>RIDE1865</t>
  </si>
  <si>
    <t>RIDE1866</t>
  </si>
  <si>
    <t>RIDE1867</t>
  </si>
  <si>
    <t>RIDE1868</t>
  </si>
  <si>
    <t>RIDE1869</t>
  </si>
  <si>
    <t>RIDE1870</t>
  </si>
  <si>
    <t>RIDE1871</t>
  </si>
  <si>
    <t>RIDE1872</t>
  </si>
  <si>
    <t>RIDE1873</t>
  </si>
  <si>
    <t>RIDE1874</t>
  </si>
  <si>
    <t>RIDE1875</t>
  </si>
  <si>
    <t>RIDE1876</t>
  </si>
  <si>
    <t>RIDE1877</t>
  </si>
  <si>
    <t>RIDE1878</t>
  </si>
  <si>
    <t>RIDE1879</t>
  </si>
  <si>
    <t>RIDE1880</t>
  </si>
  <si>
    <t>RIDE1881</t>
  </si>
  <si>
    <t>RIDE1882</t>
  </si>
  <si>
    <t>RIDE1883</t>
  </si>
  <si>
    <t>RIDE1884</t>
  </si>
  <si>
    <t>RIDE1885</t>
  </si>
  <si>
    <t>RIDE1886</t>
  </si>
  <si>
    <t>RIDE1887</t>
  </si>
  <si>
    <t>RIDE1888</t>
  </si>
  <si>
    <t>RIDE1889</t>
  </si>
  <si>
    <t>RIDE1890</t>
  </si>
  <si>
    <t>RIDE1891</t>
  </si>
  <si>
    <t>RIDE1892</t>
  </si>
  <si>
    <t>RIDE1893</t>
  </si>
  <si>
    <t>RIDE1894</t>
  </si>
  <si>
    <t>RIDE1895</t>
  </si>
  <si>
    <t>RIDE1896</t>
  </si>
  <si>
    <t>RIDE1897</t>
  </si>
  <si>
    <t>RIDE1898</t>
  </si>
  <si>
    <t>RIDE1899</t>
  </si>
  <si>
    <t>RIDE1900</t>
  </si>
  <si>
    <t>RIDE1901</t>
  </si>
  <si>
    <t>RIDE1902</t>
  </si>
  <si>
    <t>RIDE1903</t>
  </si>
  <si>
    <t>RIDE1904</t>
  </si>
  <si>
    <t>RIDE1905</t>
  </si>
  <si>
    <t>RIDE1906</t>
  </si>
  <si>
    <t>RIDE1907</t>
  </si>
  <si>
    <t>RIDE1908</t>
  </si>
  <si>
    <t>RIDE1909</t>
  </si>
  <si>
    <t>RIDE1910</t>
  </si>
  <si>
    <t>RIDE1911</t>
  </si>
  <si>
    <t>RIDE1912</t>
  </si>
  <si>
    <t>RIDE1913</t>
  </si>
  <si>
    <t>RIDE1914</t>
  </si>
  <si>
    <t>RIDE1915</t>
  </si>
  <si>
    <t>RIDE1916</t>
  </si>
  <si>
    <t>RIDE1917</t>
  </si>
  <si>
    <t>RIDE1918</t>
  </si>
  <si>
    <t>RIDE1919</t>
  </si>
  <si>
    <t>RIDE1920</t>
  </si>
  <si>
    <t>RIDE1921</t>
  </si>
  <si>
    <t>RIDE1922</t>
  </si>
  <si>
    <t>RIDE1923</t>
  </si>
  <si>
    <t>RIDE1924</t>
  </si>
  <si>
    <t>RIDE1925</t>
  </si>
  <si>
    <t>RIDE1926</t>
  </si>
  <si>
    <t>RIDE1927</t>
  </si>
  <si>
    <t>RIDE1928</t>
  </si>
  <si>
    <t>RIDE1929</t>
  </si>
  <si>
    <t>12:30</t>
  </si>
  <si>
    <t>RIDE1930</t>
  </si>
  <si>
    <t>RIDE1931</t>
  </si>
  <si>
    <t>RIDE1932</t>
  </si>
  <si>
    <t>RIDE1933</t>
  </si>
  <si>
    <t>RIDE1934</t>
  </si>
  <si>
    <t>RIDE1935</t>
  </si>
  <si>
    <t>RIDE1936</t>
  </si>
  <si>
    <t>RIDE1937</t>
  </si>
  <si>
    <t>RIDE1938</t>
  </si>
  <si>
    <t>RIDE1939</t>
  </si>
  <si>
    <t>RIDE1940</t>
  </si>
  <si>
    <t>RIDE1941</t>
  </si>
  <si>
    <t>RIDE1942</t>
  </si>
  <si>
    <t>RIDE1943</t>
  </si>
  <si>
    <t>RIDE1944</t>
  </si>
  <si>
    <t>RIDE1945</t>
  </si>
  <si>
    <t>RIDE1946</t>
  </si>
  <si>
    <t>RIDE1947</t>
  </si>
  <si>
    <t>RIDE1948</t>
  </si>
  <si>
    <t>RIDE1949</t>
  </si>
  <si>
    <t>RIDE1950</t>
  </si>
  <si>
    <t>RIDE1951</t>
  </si>
  <si>
    <t>RIDE1952</t>
  </si>
  <si>
    <t>RIDE1953</t>
  </si>
  <si>
    <t>RIDE1954</t>
  </si>
  <si>
    <t>RIDE1955</t>
  </si>
  <si>
    <t>RIDE1956</t>
  </si>
  <si>
    <t>RIDE1957</t>
  </si>
  <si>
    <t>RIDE1958</t>
  </si>
  <si>
    <t>RIDE1959</t>
  </si>
  <si>
    <t>RIDE1960</t>
  </si>
  <si>
    <t>RIDE1961</t>
  </si>
  <si>
    <t>RIDE1962</t>
  </si>
  <si>
    <t>RIDE1963</t>
  </si>
  <si>
    <t>RIDE1964</t>
  </si>
  <si>
    <t>RIDE1965</t>
  </si>
  <si>
    <t>RIDE1966</t>
  </si>
  <si>
    <t>RIDE1967</t>
  </si>
  <si>
    <t>RIDE1968</t>
  </si>
  <si>
    <t>RIDE1969</t>
  </si>
  <si>
    <t>RIDE1970</t>
  </si>
  <si>
    <t>RIDE1971</t>
  </si>
  <si>
    <t>RIDE1972</t>
  </si>
  <si>
    <t>RIDE1973</t>
  </si>
  <si>
    <t>RIDE1974</t>
  </si>
  <si>
    <t>RIDE1975</t>
  </si>
  <si>
    <t>RIDE1976</t>
  </si>
  <si>
    <t>RIDE1977</t>
  </si>
  <si>
    <t>RIDE1978</t>
  </si>
  <si>
    <t>RIDE1979</t>
  </si>
  <si>
    <t>RIDE1980</t>
  </si>
  <si>
    <t>RIDE1981</t>
  </si>
  <si>
    <t>RIDE1982</t>
  </si>
  <si>
    <t>RIDE1983</t>
  </si>
  <si>
    <t>RIDE1984</t>
  </si>
  <si>
    <t>RIDE1985</t>
  </si>
  <si>
    <t>RIDE1986</t>
  </si>
  <si>
    <t>RIDE1987</t>
  </si>
  <si>
    <t>RIDE1988</t>
  </si>
  <si>
    <t>RIDE1989</t>
  </si>
  <si>
    <t>RIDE1990</t>
  </si>
  <si>
    <t>RIDE1991</t>
  </si>
  <si>
    <t>RIDE1992</t>
  </si>
  <si>
    <t>RIDE1993</t>
  </si>
  <si>
    <t>RIDE1994</t>
  </si>
  <si>
    <t>RIDE1995</t>
  </si>
  <si>
    <t>RIDE1996</t>
  </si>
  <si>
    <t>RIDE1997</t>
  </si>
  <si>
    <t>RIDE1998</t>
  </si>
  <si>
    <t>RIDE1999</t>
  </si>
  <si>
    <t>RIDE2000</t>
  </si>
  <si>
    <t>Data cleaning log</t>
  </si>
  <si>
    <t>Source: Ride_Analytics_Raw_1000_Records.csv (1000 records).</t>
  </si>
  <si>
    <t>Exact duplicate rows removed: 0. Duplicate ride_id removed: 0.</t>
  </si>
  <si>
    <t>Text fields trimmed; ride_status upper-cased; pickup_location and ride_status use consistent labels.</t>
  </si>
  <si>
    <t>timestamp converted to a real Excel date-time; fare_amount and driver_rating stored as numbers.</t>
  </si>
  <si>
    <t>Blank driver_rating kept blank (109 rows) - not imputed, excluded from the average.</t>
  </si>
  <si>
    <t>fare_amount = 0 on cancelled / no-driver rides is a valid value and was kept.</t>
  </si>
  <si>
    <t>time_slot (HH:MM) is a formula column added only to group the trend PivotTable.</t>
  </si>
  <si>
    <t>Ride Status Distribution (PivotTable ptStatus)</t>
  </si>
  <si>
    <t>Row Labels</t>
  </si>
  <si>
    <t>Rides</t>
  </si>
  <si>
    <t>% of Total</t>
  </si>
  <si>
    <t>Grand Total</t>
  </si>
  <si>
    <t>Rides by Pickup Location (PivotTable ptLocRides)</t>
  </si>
  <si>
    <t>Total Revenue by Pickup Location (PivotTable ptLocRevenue)</t>
  </si>
  <si>
    <t>Total Revenue</t>
  </si>
  <si>
    <t>Ride Trend Over Time (PivotTable ptTrend) - grand-total row also feeds the KPI cards</t>
  </si>
  <si>
    <t>Rating Sum</t>
  </si>
  <si>
    <t>Rated Rides</t>
  </si>
  <si>
    <t>Slicers on the Dashboard filter this PivotTable together with the other three (one shared PivotCache).</t>
  </si>
  <si>
    <t>🚗</t>
  </si>
  <si>
    <t>RIDE ANALYTICS DASHBOARD</t>
  </si>
  <si>
    <t>Interactive rider insights • Use the filters to explore the data</t>
  </si>
  <si>
    <t>📅</t>
  </si>
  <si>
    <t>DATA PERIOD</t>
  </si>
  <si>
    <t xml:space="preserve">  🔻  FILTER PANEL</t>
  </si>
  <si>
    <t>📍  Pickup Location</t>
  </si>
  <si>
    <t>☰  Ride Status</t>
  </si>
  <si>
    <t>ℹ️</t>
  </si>
  <si>
    <t>DATA QUALITY</t>
  </si>
  <si>
    <t>📊</t>
  </si>
  <si>
    <t>KEY INSIGHTS</t>
  </si>
  <si>
    <t>✅</t>
  </si>
  <si>
    <t>Rides completed</t>
  </si>
  <si>
    <t>❌</t>
  </si>
  <si>
    <t>Rides cancelled</t>
  </si>
  <si>
    <t>📈</t>
  </si>
  <si>
    <t>Highest revenue location</t>
  </si>
  <si>
    <t>👥</t>
  </si>
  <si>
    <t>Driver ratings excluded due to missing values</t>
  </si>
  <si>
    <t>TOTAL RIDES</t>
  </si>
  <si>
    <t>COMPLETED RIDES</t>
  </si>
  <si>
    <t>CANCELLED RIDES</t>
  </si>
  <si>
    <t>🕒</t>
  </si>
  <si>
    <t>NO DRIVER AVAILABLE</t>
  </si>
  <si>
    <t>🪙</t>
  </si>
  <si>
    <t>TOTAL REVENUE</t>
  </si>
  <si>
    <t>⭐</t>
  </si>
  <si>
    <t>AVG. DRIVER RATING</t>
  </si>
  <si>
    <t>Ride Trend Over Time</t>
  </si>
  <si>
    <t>🥧</t>
  </si>
  <si>
    <t>Ride Status Distribution</t>
  </si>
  <si>
    <t>Rides by Pickup Location</t>
  </si>
  <si>
    <t>Total Revenue by Pickup Location</t>
  </si>
</sst>
</file>

<file path=xl/styles.xml><?xml version="1.0" encoding="utf-8"?>
<styleSheet xmlns="http://schemas.openxmlformats.org/spreadsheetml/2006/main">
  <numFmts count="7">
    <numFmt numFmtId="164" formatCode="yyyy-mm-dd hh:mm:ss"/>
    <numFmt numFmtId="165" formatCode="#,##0.00"/>
    <numFmt numFmtId="166" formatCode="#,##0"/>
    <numFmt numFmtId="167" formatCode="0%"/>
    <numFmt numFmtId="168" formatCode="&quot;₹&quot;#,##0"/>
    <numFmt numFmtId="169" formatCode="0.00"/>
    <numFmt numFmtId="170" formatCode="@"/>
  </numFmts>
  <fonts count="3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Segoe UI"/>
      <family val="2"/>
    </font>
    <font>
      <b/>
      <sz val="13"/>
      <color theme="1"/>
      <name val="Segoe UI"/>
      <family val="2"/>
    </font>
    <font>
      <i/>
      <sz val="9"/>
      <color theme="1"/>
      <name val="Segoe UI"/>
      <family val="2"/>
    </font>
    <font>
      <b/>
      <sz val="26"/>
      <color rgb="FF0B2A5B"/>
      <name val="Segoe UI"/>
      <family val="2"/>
    </font>
    <font>
      <sz val="32"/>
      <color theme="1"/>
      <name val="Segoe UI Emoji"/>
      <family val="2"/>
    </font>
    <font>
      <sz val="24"/>
      <color theme="1"/>
      <name val="Segoe UI Emoji"/>
      <family val="2"/>
    </font>
    <font>
      <sz val="10"/>
      <color rgb="FF3B5B84"/>
      <name val="Segoe UI"/>
      <family val="2"/>
    </font>
    <font>
      <b/>
      <sz val="11"/>
      <color rgb="FF0B2A5B"/>
      <name val="Segoe UI"/>
      <family val="2"/>
    </font>
    <font>
      <sz val="12"/>
      <color rgb="FF3B5B84"/>
      <name val="Segoe UI"/>
      <family val="2"/>
    </font>
    <font>
      <b/>
      <sz val="15"/>
      <color rgb="FFFFFFFF"/>
      <name val="Segoe UI"/>
      <family val="2"/>
    </font>
    <font>
      <b/>
      <sz val="9"/>
      <color rgb="FF0B2A5B"/>
      <name val="Segoe UI"/>
      <family val="2"/>
    </font>
    <font>
      <b/>
      <sz val="9"/>
      <color rgb="FF0F2E1A"/>
      <name val="Segoe UI"/>
      <family val="2"/>
    </font>
    <font>
      <b/>
      <sz val="9"/>
      <color rgb="FF4A0F0F"/>
      <name val="Segoe UI"/>
      <family val="2"/>
    </font>
    <font>
      <b/>
      <sz val="9"/>
      <color rgb="FF4A2A05"/>
      <name val="Segoe UI"/>
      <family val="2"/>
    </font>
    <font>
      <b/>
      <sz val="26"/>
      <color rgb="FF0F2E1A"/>
      <name val="Segoe UI"/>
      <family val="2"/>
    </font>
    <font>
      <b/>
      <sz val="26"/>
      <color rgb="FF4A0F0F"/>
      <name val="Segoe UI"/>
      <family val="2"/>
    </font>
    <font>
      <b/>
      <sz val="26"/>
      <color rgb="FF4A2A05"/>
      <name val="Segoe UI"/>
      <family val="2"/>
    </font>
    <font>
      <b/>
      <sz val="9"/>
      <color rgb="FF1E1259"/>
      <name val="Segoe UI"/>
      <family val="2"/>
    </font>
    <font>
      <b/>
      <sz val="30"/>
      <color rgb="FF1E1259"/>
      <name val="Segoe UI"/>
      <family val="2"/>
    </font>
    <font>
      <b/>
      <sz val="30"/>
      <color rgb="FF0B2A5B"/>
      <name val="Segoe UI"/>
      <family val="2"/>
    </font>
    <font>
      <sz val="14"/>
      <color theme="1"/>
      <name val="Segoe UI Emoji"/>
      <family val="2"/>
    </font>
    <font>
      <b/>
      <sz val="13"/>
      <color rgb="FF0B2A5B"/>
      <name val="Segoe UI"/>
      <family val="2"/>
    </font>
    <font>
      <sz val="20"/>
      <color theme="1"/>
      <name val="Segoe UI Emoji"/>
      <family val="2"/>
    </font>
    <font>
      <i/>
      <sz val="9"/>
      <color rgb="FF334155"/>
      <name val="Segoe UI"/>
      <family val="2"/>
    </font>
    <font>
      <sz val="18"/>
      <color theme="1"/>
      <name val="Segoe UI Emoji"/>
      <family val="2"/>
    </font>
    <font>
      <b/>
      <sz val="15"/>
      <color rgb="FF0B2A5B"/>
      <name val="Segoe UI"/>
      <family val="2"/>
    </font>
    <font>
      <sz val="10.5"/>
      <color rgb="FF475569"/>
      <name val="Segoe UI"/>
      <family val="2"/>
    </font>
    <font>
      <b/>
      <sz val="14"/>
      <color rgb="FF0B2A5B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3F8FD"/>
        <bgColor indexed="64"/>
      </patternFill>
    </fill>
    <fill>
      <patternFill patternType="solid">
        <fgColor rgb="FFEAF3FC"/>
        <bgColor indexed="64"/>
      </patternFill>
    </fill>
    <fill>
      <patternFill patternType="solid">
        <fgColor rgb="FF0B3B7A"/>
        <bgColor indexed="64"/>
      </patternFill>
    </fill>
    <fill>
      <patternFill patternType="solid">
        <fgColor rgb="FFE4F0FB"/>
        <bgColor indexed="64"/>
      </patternFill>
    </fill>
    <fill>
      <patternFill patternType="solid">
        <fgColor rgb="FFE6F4E1"/>
        <bgColor indexed="64"/>
      </patternFill>
    </fill>
    <fill>
      <patternFill patternType="solid">
        <fgColor rgb="FFFDE6E6"/>
        <bgColor indexed="64"/>
      </patternFill>
    </fill>
    <fill>
      <patternFill patternType="solid">
        <fgColor rgb="FFFFF3D3"/>
        <bgColor indexed="64"/>
      </patternFill>
    </fill>
    <fill>
      <patternFill patternType="solid">
        <fgColor rgb="FFCFE4F7"/>
        <bgColor indexed="64"/>
      </patternFill>
    </fill>
    <fill>
      <patternFill patternType="solid">
        <fgColor rgb="FFCFEBC6"/>
        <bgColor indexed="64"/>
      </patternFill>
    </fill>
    <fill>
      <patternFill patternType="solid">
        <fgColor rgb="FFFBD0D0"/>
        <bgColor indexed="64"/>
      </patternFill>
    </fill>
    <fill>
      <patternFill patternType="solid">
        <fgColor rgb="FFFFE08A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F0E6FA"/>
        <bgColor indexed="64"/>
      </patternFill>
    </fill>
    <fill>
      <patternFill patternType="solid">
        <fgColor rgb="FFE2F1FB"/>
        <bgColor indexed="64"/>
      </patternFill>
    </fill>
    <fill>
      <patternFill patternType="solid">
        <fgColor rgb="FFDCC8F2"/>
        <bgColor indexed="64"/>
      </patternFill>
    </fill>
    <fill>
      <patternFill patternType="solid">
        <fgColor rgb="FFCFE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9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E8F5E9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C9DDF0"/>
      </left>
      <right/>
      <top style="thin">
        <color rgb="FFC9DDF0"/>
      </top>
      <bottom/>
      <diagonal/>
    </border>
    <border>
      <left/>
      <right/>
      <top style="thin">
        <color rgb="FFC9DDF0"/>
      </top>
      <bottom/>
      <diagonal/>
    </border>
    <border>
      <left/>
      <right style="thin">
        <color rgb="FFC9DDF0"/>
      </right>
      <top style="thin">
        <color rgb="FFC9DDF0"/>
      </top>
      <bottom/>
      <diagonal/>
    </border>
    <border>
      <left style="thin">
        <color rgb="FFC9DDF0"/>
      </left>
      <right/>
      <top/>
      <bottom/>
      <diagonal/>
    </border>
    <border>
      <left/>
      <right style="thin">
        <color rgb="FFC9DDF0"/>
      </right>
      <top/>
      <bottom/>
      <diagonal/>
    </border>
    <border>
      <left style="thin">
        <color rgb="FFC9DDF0"/>
      </left>
      <right/>
      <top/>
      <bottom style="thin">
        <color rgb="FFC9DDF0"/>
      </bottom>
      <diagonal/>
    </border>
    <border>
      <left/>
      <right/>
      <top/>
      <bottom style="thin">
        <color rgb="FFC9DDF0"/>
      </bottom>
      <diagonal/>
    </border>
    <border>
      <left/>
      <right style="thin">
        <color rgb="FFC9DDF0"/>
      </right>
      <top/>
      <bottom style="thin">
        <color rgb="FFC9DDF0"/>
      </bottom>
      <diagonal/>
    </border>
    <border>
      <left style="thin">
        <color rgb="FFC5DDF2"/>
      </left>
      <right/>
      <top style="thin">
        <color rgb="FFC5DDF2"/>
      </top>
      <bottom/>
      <diagonal/>
    </border>
    <border>
      <left/>
      <right/>
      <top style="thin">
        <color rgb="FFC5DDF2"/>
      </top>
      <bottom/>
      <diagonal/>
    </border>
    <border>
      <left/>
      <right style="thin">
        <color rgb="FFC5DDF2"/>
      </right>
      <top style="thin">
        <color rgb="FFC5DDF2"/>
      </top>
      <bottom/>
      <diagonal/>
    </border>
    <border>
      <left style="thin">
        <color rgb="FFC6E3BD"/>
      </left>
      <right/>
      <top style="thin">
        <color rgb="FFC6E3BD"/>
      </top>
      <bottom/>
      <diagonal/>
    </border>
    <border>
      <left/>
      <right/>
      <top style="thin">
        <color rgb="FFC6E3BD"/>
      </top>
      <bottom/>
      <diagonal/>
    </border>
    <border>
      <left/>
      <right style="thin">
        <color rgb="FFC6E3BD"/>
      </right>
      <top style="thin">
        <color rgb="FFC6E3BD"/>
      </top>
      <bottom/>
      <diagonal/>
    </border>
    <border>
      <left style="thin">
        <color rgb="FFF3C6C6"/>
      </left>
      <right/>
      <top style="thin">
        <color rgb="FFF3C6C6"/>
      </top>
      <bottom/>
      <diagonal/>
    </border>
    <border>
      <left/>
      <right/>
      <top style="thin">
        <color rgb="FFF3C6C6"/>
      </top>
      <bottom/>
      <diagonal/>
    </border>
    <border>
      <left/>
      <right style="thin">
        <color rgb="FFF3C6C6"/>
      </right>
      <top style="thin">
        <color rgb="FFF3C6C6"/>
      </top>
      <bottom/>
      <diagonal/>
    </border>
    <border>
      <left style="thin">
        <color rgb="FFF3DFA0"/>
      </left>
      <right/>
      <top style="thin">
        <color rgb="FFF3DFA0"/>
      </top>
      <bottom/>
      <diagonal/>
    </border>
    <border>
      <left/>
      <right/>
      <top style="thin">
        <color rgb="FFF3DFA0"/>
      </top>
      <bottom/>
      <diagonal/>
    </border>
    <border>
      <left/>
      <right style="thin">
        <color rgb="FFF3DFA0"/>
      </right>
      <top style="thin">
        <color rgb="FFF3DFA0"/>
      </top>
      <bottom/>
      <diagonal/>
    </border>
    <border>
      <left style="thin">
        <color rgb="FFC5DDF2"/>
      </left>
      <right/>
      <top/>
      <bottom/>
      <diagonal/>
    </border>
    <border>
      <left/>
      <right style="thin">
        <color rgb="FFC5DDF2"/>
      </right>
      <top/>
      <bottom/>
      <diagonal/>
    </border>
    <border>
      <left style="thin">
        <color rgb="FFC6E3BD"/>
      </left>
      <right/>
      <top/>
      <bottom/>
      <diagonal/>
    </border>
    <border>
      <left/>
      <right style="thin">
        <color rgb="FFC6E3BD"/>
      </right>
      <top/>
      <bottom/>
      <diagonal/>
    </border>
    <border>
      <left style="thin">
        <color rgb="FFF3C6C6"/>
      </left>
      <right/>
      <top/>
      <bottom/>
      <diagonal/>
    </border>
    <border>
      <left/>
      <right style="thin">
        <color rgb="FFF3C6C6"/>
      </right>
      <top/>
      <bottom/>
      <diagonal/>
    </border>
    <border>
      <left style="thin">
        <color rgb="FFF3DFA0"/>
      </left>
      <right/>
      <top/>
      <bottom/>
      <diagonal/>
    </border>
    <border>
      <left/>
      <right style="thin">
        <color rgb="FFF3DFA0"/>
      </right>
      <top/>
      <bottom/>
      <diagonal/>
    </border>
    <border>
      <left style="thin">
        <color rgb="FFC5DDF2"/>
      </left>
      <right/>
      <top/>
      <bottom style="thin">
        <color rgb="FFC5DDF2"/>
      </bottom>
      <diagonal/>
    </border>
    <border>
      <left/>
      <right/>
      <top/>
      <bottom style="thin">
        <color rgb="FFC5DDF2"/>
      </bottom>
      <diagonal/>
    </border>
    <border>
      <left/>
      <right style="thin">
        <color rgb="FFC5DDF2"/>
      </right>
      <top/>
      <bottom style="thin">
        <color rgb="FFC5DDF2"/>
      </bottom>
      <diagonal/>
    </border>
    <border>
      <left style="thin">
        <color rgb="FFC6E3BD"/>
      </left>
      <right/>
      <top/>
      <bottom style="thin">
        <color rgb="FFC6E3BD"/>
      </bottom>
      <diagonal/>
    </border>
    <border>
      <left/>
      <right/>
      <top/>
      <bottom style="thin">
        <color rgb="FFC6E3BD"/>
      </bottom>
      <diagonal/>
    </border>
    <border>
      <left/>
      <right style="thin">
        <color rgb="FFC6E3BD"/>
      </right>
      <top/>
      <bottom style="thin">
        <color rgb="FFC6E3BD"/>
      </bottom>
      <diagonal/>
    </border>
    <border>
      <left style="thin">
        <color rgb="FFF3C6C6"/>
      </left>
      <right/>
      <top/>
      <bottom style="thin">
        <color rgb="FFF3C6C6"/>
      </bottom>
      <diagonal/>
    </border>
    <border>
      <left/>
      <right/>
      <top/>
      <bottom style="thin">
        <color rgb="FFF3C6C6"/>
      </bottom>
      <diagonal/>
    </border>
    <border>
      <left/>
      <right style="thin">
        <color rgb="FFF3C6C6"/>
      </right>
      <top/>
      <bottom style="thin">
        <color rgb="FFF3C6C6"/>
      </bottom>
      <diagonal/>
    </border>
    <border>
      <left style="thin">
        <color rgb="FFF3DFA0"/>
      </left>
      <right/>
      <top/>
      <bottom style="thin">
        <color rgb="FFF3DFA0"/>
      </bottom>
      <diagonal/>
    </border>
    <border>
      <left/>
      <right/>
      <top/>
      <bottom style="thin">
        <color rgb="FFF3DFA0"/>
      </bottom>
      <diagonal/>
    </border>
    <border>
      <left/>
      <right style="thin">
        <color rgb="FFF3DFA0"/>
      </right>
      <top/>
      <bottom style="thin">
        <color rgb="FFF3DFA0"/>
      </bottom>
      <diagonal/>
    </border>
    <border>
      <left style="thin">
        <color rgb="FFDCC8F2"/>
      </left>
      <right/>
      <top style="thin">
        <color rgb="FFDCC8F2"/>
      </top>
      <bottom/>
      <diagonal/>
    </border>
    <border>
      <left/>
      <right/>
      <top style="thin">
        <color rgb="FFDCC8F2"/>
      </top>
      <bottom/>
      <diagonal/>
    </border>
    <border>
      <left/>
      <right style="thin">
        <color rgb="FFDCC8F2"/>
      </right>
      <top style="thin">
        <color rgb="FFDCC8F2"/>
      </top>
      <bottom/>
      <diagonal/>
    </border>
    <border>
      <left style="thin">
        <color rgb="FFBFDDF1"/>
      </left>
      <right/>
      <top style="thin">
        <color rgb="FFBFDDF1"/>
      </top>
      <bottom/>
      <diagonal/>
    </border>
    <border>
      <left/>
      <right/>
      <top style="thin">
        <color rgb="FFBFDDF1"/>
      </top>
      <bottom/>
      <diagonal/>
    </border>
    <border>
      <left/>
      <right style="thin">
        <color rgb="FFBFDDF1"/>
      </right>
      <top style="thin">
        <color rgb="FFBFDDF1"/>
      </top>
      <bottom/>
      <diagonal/>
    </border>
    <border>
      <left style="thin">
        <color rgb="FFDCC8F2"/>
      </left>
      <right/>
      <top/>
      <bottom/>
      <diagonal/>
    </border>
    <border>
      <left/>
      <right style="thin">
        <color rgb="FFDCC8F2"/>
      </right>
      <top/>
      <bottom/>
      <diagonal/>
    </border>
    <border>
      <left style="thin">
        <color rgb="FFBFDDF1"/>
      </left>
      <right/>
      <top/>
      <bottom/>
      <diagonal/>
    </border>
    <border>
      <left/>
      <right style="thin">
        <color rgb="FFBFDDF1"/>
      </right>
      <top/>
      <bottom/>
      <diagonal/>
    </border>
    <border>
      <left style="thin">
        <color rgb="FFDCC8F2"/>
      </left>
      <right/>
      <top/>
      <bottom style="thin">
        <color rgb="FFDCC8F2"/>
      </bottom>
      <diagonal/>
    </border>
    <border>
      <left/>
      <right/>
      <top/>
      <bottom style="thin">
        <color rgb="FFDCC8F2"/>
      </bottom>
      <diagonal/>
    </border>
    <border>
      <left/>
      <right style="thin">
        <color rgb="FFDCC8F2"/>
      </right>
      <top/>
      <bottom style="thin">
        <color rgb="FFDCC8F2"/>
      </bottom>
      <diagonal/>
    </border>
    <border>
      <left style="thin">
        <color rgb="FFBFDDF1"/>
      </left>
      <right/>
      <top/>
      <bottom style="thin">
        <color rgb="FFBFDDF1"/>
      </bottom>
      <diagonal/>
    </border>
    <border>
      <left/>
      <right/>
      <top/>
      <bottom style="thin">
        <color rgb="FFBFDDF1"/>
      </bottom>
      <diagonal/>
    </border>
    <border>
      <left/>
      <right style="thin">
        <color rgb="FFBFDDF1"/>
      </right>
      <top/>
      <bottom style="thin">
        <color rgb="FFBFDDF1"/>
      </bottom>
      <diagonal/>
    </border>
    <border>
      <left style="thin">
        <color rgb="FFD3E2F1"/>
      </left>
      <right/>
      <top style="thin">
        <color rgb="FFD3E2F1"/>
      </top>
      <bottom/>
      <diagonal/>
    </border>
    <border>
      <left/>
      <right/>
      <top style="thin">
        <color rgb="FFD3E2F1"/>
      </top>
      <bottom/>
      <diagonal/>
    </border>
    <border>
      <left/>
      <right style="thin">
        <color rgb="FFD3E2F1"/>
      </right>
      <top style="thin">
        <color rgb="FFD3E2F1"/>
      </top>
      <bottom/>
      <diagonal/>
    </border>
    <border>
      <left style="thin">
        <color rgb="FFD3E2F1"/>
      </left>
      <right/>
      <top/>
      <bottom/>
      <diagonal/>
    </border>
    <border>
      <left/>
      <right style="thin">
        <color rgb="FFD3E2F1"/>
      </right>
      <top/>
      <bottom/>
      <diagonal/>
    </border>
    <border>
      <left style="thin">
        <color rgb="FFD3DCE8"/>
      </left>
      <right/>
      <top style="thin">
        <color rgb="FFD3DCE8"/>
      </top>
      <bottom/>
      <diagonal/>
    </border>
    <border>
      <left/>
      <right/>
      <top style="thin">
        <color rgb="FFD3DCE8"/>
      </top>
      <bottom/>
      <diagonal/>
    </border>
    <border>
      <left/>
      <right style="thin">
        <color rgb="FFD3DCE8"/>
      </right>
      <top style="thin">
        <color rgb="FFD3DCE8"/>
      </top>
      <bottom/>
      <diagonal/>
    </border>
    <border>
      <left style="thin">
        <color rgb="FFD3DCE8"/>
      </left>
      <right/>
      <top/>
      <bottom/>
      <diagonal/>
    </border>
    <border>
      <left/>
      <right style="thin">
        <color rgb="FFD3DCE8"/>
      </right>
      <top/>
      <bottom/>
      <diagonal/>
    </border>
    <border>
      <left style="thin">
        <color rgb="FFD3DCE8"/>
      </left>
      <right/>
      <top/>
      <bottom style="thin">
        <color rgb="FFD3DCE8"/>
      </bottom>
      <diagonal/>
    </border>
    <border>
      <left/>
      <right/>
      <top/>
      <bottom style="thin">
        <color rgb="FFD3DCE8"/>
      </bottom>
      <diagonal/>
    </border>
    <border>
      <left/>
      <right style="thin">
        <color rgb="FFD3DCE8"/>
      </right>
      <top/>
      <bottom style="thin">
        <color rgb="FFD3DCE8"/>
      </bottom>
      <diagonal/>
    </border>
    <border>
      <left style="thin">
        <color rgb="FFCFE6D2"/>
      </left>
      <right/>
      <top style="thin">
        <color rgb="FFCFE6D2"/>
      </top>
      <bottom/>
      <diagonal/>
    </border>
    <border>
      <left/>
      <right/>
      <top style="thin">
        <color rgb="FFCFE6D2"/>
      </top>
      <bottom/>
      <diagonal/>
    </border>
    <border>
      <left/>
      <right style="thin">
        <color rgb="FFCFE6D2"/>
      </right>
      <top style="thin">
        <color rgb="FFCFE6D2"/>
      </top>
      <bottom/>
      <diagonal/>
    </border>
    <border>
      <left style="thin">
        <color rgb="FFCFE6D2"/>
      </left>
      <right/>
      <top/>
      <bottom/>
      <diagonal/>
    </border>
    <border>
      <left/>
      <right style="thin">
        <color rgb="FFCFE6D2"/>
      </right>
      <top/>
      <bottom/>
      <diagonal/>
    </border>
    <border>
      <left style="thin">
        <color rgb="FFE3EDE5"/>
      </left>
      <right/>
      <top style="thin">
        <color rgb="FFE3EDE5"/>
      </top>
      <bottom/>
      <diagonal/>
    </border>
    <border>
      <left/>
      <right/>
      <top style="thin">
        <color rgb="FFE3EDE5"/>
      </top>
      <bottom/>
      <diagonal/>
    </border>
    <border>
      <left style="thin">
        <color rgb="FFE3EDE5"/>
      </left>
      <right/>
      <top/>
      <bottom/>
      <diagonal/>
    </border>
    <border>
      <left style="thin">
        <color rgb="FFD3E2F1"/>
      </left>
      <right/>
      <top/>
      <bottom style="thin">
        <color rgb="FFD3E2F1"/>
      </bottom>
      <diagonal/>
    </border>
    <border>
      <left/>
      <right/>
      <top/>
      <bottom style="thin">
        <color rgb="FFD3E2F1"/>
      </bottom>
      <diagonal/>
    </border>
    <border>
      <left/>
      <right style="thin">
        <color rgb="FFD3E2F1"/>
      </right>
      <top/>
      <bottom style="thin">
        <color rgb="FFD3E2F1"/>
      </bottom>
      <diagonal/>
    </border>
    <border>
      <left style="thin">
        <color rgb="FFE3EDE5"/>
      </left>
      <right/>
      <top/>
      <bottom style="thin">
        <color rgb="FFE3EDE5"/>
      </bottom>
      <diagonal/>
    </border>
    <border>
      <left/>
      <right/>
      <top/>
      <bottom style="thin">
        <color rgb="FFE3EDE5"/>
      </bottom>
      <diagonal/>
    </border>
    <border>
      <left/>
      <right style="thin">
        <color rgb="FFE3EDE5"/>
      </right>
      <top style="thin">
        <color rgb="FFE3EDE5"/>
      </top>
      <bottom/>
      <diagonal/>
    </border>
    <border>
      <left/>
      <right style="thin">
        <color rgb="FFE3EDE5"/>
      </right>
      <top/>
      <bottom style="thin">
        <color rgb="FFE3EDE5"/>
      </bottom>
      <diagonal/>
    </border>
    <border>
      <left style="thin">
        <color rgb="FFCFE6D2"/>
      </left>
      <right/>
      <top/>
      <bottom style="thin">
        <color rgb="FFCFE6D2"/>
      </bottom>
      <diagonal/>
    </border>
    <border>
      <left/>
      <right/>
      <top/>
      <bottom style="thin">
        <color rgb="FFCFE6D2"/>
      </bottom>
      <diagonal/>
    </border>
    <border>
      <left/>
      <right style="thin">
        <color rgb="FFCFE6D2"/>
      </right>
      <top/>
      <bottom style="thin">
        <color rgb="FFCFE6D2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2" fillId="2" borderId="1" xfId="0" applyFont="1" applyFill="1" applyBorder="1"/>
    <xf numFmtId="0" fontId="1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2" fillId="0" borderId="2" xfId="0" applyFont="1" applyBorder="1"/>
    <xf numFmtId="166" fontId="2" fillId="0" borderId="2" xfId="0" applyNumberFormat="1" applyFont="1" applyBorder="1"/>
    <xf numFmtId="167" fontId="2" fillId="0" borderId="2" xfId="0" applyNumberFormat="1" applyFont="1" applyBorder="1"/>
    <xf numFmtId="165" fontId="1" fillId="0" borderId="1" xfId="0" applyNumberFormat="1" applyFont="1" applyBorder="1"/>
    <xf numFmtId="165" fontId="2" fillId="0" borderId="2" xfId="0" applyNumberFormat="1" applyFont="1" applyBorder="1"/>
    <xf numFmtId="0" fontId="5" fillId="0" borderId="0" xfId="0" applyFont="1"/>
    <xf numFmtId="0" fontId="1" fillId="3" borderId="0" xfId="0" applyFont="1" applyFill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0" xfId="0" applyFont="1" applyFill="1"/>
    <xf numFmtId="0" fontId="6" fillId="4" borderId="0" xfId="0" applyFont="1" applyFill="1" applyAlignment="1">
      <alignment horizontal="left" vertical="center"/>
    </xf>
    <xf numFmtId="0" fontId="1" fillId="4" borderId="7" xfId="0" applyFont="1" applyFill="1" applyBorder="1"/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2" fillId="5" borderId="0" xfId="0" applyFont="1" applyFill="1" applyAlignment="1">
      <alignment horizontal="left" vertical="center"/>
    </xf>
    <xf numFmtId="0" fontId="1" fillId="6" borderId="11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7" borderId="14" xfId="0" applyFont="1" applyFill="1" applyBorder="1"/>
    <xf numFmtId="0" fontId="1" fillId="7" borderId="15" xfId="0" applyFont="1" applyFill="1" applyBorder="1"/>
    <xf numFmtId="0" fontId="1" fillId="7" borderId="16" xfId="0" applyFont="1" applyFill="1" applyBorder="1"/>
    <xf numFmtId="0" fontId="1" fillId="8" borderId="17" xfId="0" applyFont="1" applyFill="1" applyBorder="1"/>
    <xf numFmtId="0" fontId="1" fillId="8" borderId="18" xfId="0" applyFont="1" applyFill="1" applyBorder="1"/>
    <xf numFmtId="0" fontId="1" fillId="8" borderId="19" xfId="0" applyFont="1" applyFill="1" applyBorder="1"/>
    <xf numFmtId="0" fontId="1" fillId="9" borderId="20" xfId="0" applyFont="1" applyFill="1" applyBorder="1"/>
    <xf numFmtId="0" fontId="1" fillId="9" borderId="21" xfId="0" applyFont="1" applyFill="1" applyBorder="1"/>
    <xf numFmtId="0" fontId="1" fillId="9" borderId="22" xfId="0" applyFont="1" applyFill="1" applyBorder="1"/>
    <xf numFmtId="0" fontId="1" fillId="6" borderId="23" xfId="0" applyFont="1" applyFill="1" applyBorder="1"/>
    <xf numFmtId="0" fontId="1" fillId="6" borderId="0" xfId="0" applyFont="1" applyFill="1"/>
    <xf numFmtId="0" fontId="1" fillId="6" borderId="24" xfId="0" applyFont="1" applyFill="1" applyBorder="1"/>
    <xf numFmtId="0" fontId="1" fillId="7" borderId="25" xfId="0" applyFont="1" applyFill="1" applyBorder="1"/>
    <xf numFmtId="0" fontId="1" fillId="7" borderId="0" xfId="0" applyFont="1" applyFill="1"/>
    <xf numFmtId="0" fontId="1" fillId="7" borderId="26" xfId="0" applyFont="1" applyFill="1" applyBorder="1"/>
    <xf numFmtId="0" fontId="1" fillId="8" borderId="27" xfId="0" applyFont="1" applyFill="1" applyBorder="1"/>
    <xf numFmtId="0" fontId="1" fillId="8" borderId="0" xfId="0" applyFont="1" applyFill="1"/>
    <xf numFmtId="0" fontId="1" fillId="8" borderId="28" xfId="0" applyFont="1" applyFill="1" applyBorder="1"/>
    <xf numFmtId="0" fontId="1" fillId="9" borderId="29" xfId="0" applyFont="1" applyFill="1" applyBorder="1"/>
    <xf numFmtId="0" fontId="1" fillId="9" borderId="0" xfId="0" applyFont="1" applyFill="1"/>
    <xf numFmtId="0" fontId="1" fillId="9" borderId="30" xfId="0" applyFont="1" applyFill="1" applyBorder="1"/>
    <xf numFmtId="0" fontId="13" fillId="6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left" vertical="center"/>
    </xf>
    <xf numFmtId="166" fontId="17" fillId="7" borderId="0" xfId="0" applyNumberFormat="1" applyFont="1" applyFill="1" applyAlignment="1">
      <alignment horizontal="left" vertical="center"/>
    </xf>
    <xf numFmtId="166" fontId="18" fillId="8" borderId="0" xfId="0" applyNumberFormat="1" applyFont="1" applyFill="1" applyAlignment="1">
      <alignment horizontal="left" vertical="center"/>
    </xf>
    <xf numFmtId="166" fontId="19" fillId="9" borderId="0" xfId="0" applyNumberFormat="1" applyFont="1" applyFill="1" applyAlignment="1">
      <alignment horizontal="left" vertical="center"/>
    </xf>
    <xf numFmtId="0" fontId="1" fillId="14" borderId="3" xfId="0" applyFont="1" applyFill="1" applyBorder="1"/>
    <xf numFmtId="0" fontId="1" fillId="14" borderId="4" xfId="0" applyFont="1" applyFill="1" applyBorder="1"/>
    <xf numFmtId="0" fontId="1" fillId="14" borderId="5" xfId="0" applyFont="1" applyFill="1" applyBorder="1"/>
    <xf numFmtId="0" fontId="1" fillId="14" borderId="6" xfId="0" applyFont="1" applyFill="1" applyBorder="1"/>
    <xf numFmtId="0" fontId="1" fillId="14" borderId="0" xfId="0" applyFont="1" applyFill="1"/>
    <xf numFmtId="0" fontId="1" fillId="14" borderId="7" xfId="0" applyFont="1" applyFill="1" applyBorder="1"/>
    <xf numFmtId="0" fontId="10" fillId="14" borderId="0" xfId="0" applyFont="1" applyFill="1" applyAlignment="1">
      <alignment horizontal="left" vertical="center"/>
    </xf>
    <xf numFmtId="0" fontId="1" fillId="6" borderId="31" xfId="0" applyFont="1" applyFill="1" applyBorder="1"/>
    <xf numFmtId="0" fontId="1" fillId="6" borderId="32" xfId="0" applyFont="1" applyFill="1" applyBorder="1"/>
    <xf numFmtId="0" fontId="1" fillId="6" borderId="33" xfId="0" applyFont="1" applyFill="1" applyBorder="1"/>
    <xf numFmtId="0" fontId="1" fillId="7" borderId="34" xfId="0" applyFont="1" applyFill="1" applyBorder="1"/>
    <xf numFmtId="0" fontId="1" fillId="7" borderId="35" xfId="0" applyFont="1" applyFill="1" applyBorder="1"/>
    <xf numFmtId="0" fontId="1" fillId="7" borderId="36" xfId="0" applyFont="1" applyFill="1" applyBorder="1"/>
    <xf numFmtId="0" fontId="1" fillId="8" borderId="37" xfId="0" applyFont="1" applyFill="1" applyBorder="1"/>
    <xf numFmtId="0" fontId="1" fillId="8" borderId="38" xfId="0" applyFont="1" applyFill="1" applyBorder="1"/>
    <xf numFmtId="0" fontId="1" fillId="8" borderId="39" xfId="0" applyFont="1" applyFill="1" applyBorder="1"/>
    <xf numFmtId="0" fontId="1" fillId="9" borderId="40" xfId="0" applyFont="1" applyFill="1" applyBorder="1"/>
    <xf numFmtId="0" fontId="1" fillId="9" borderId="41" xfId="0" applyFont="1" applyFill="1" applyBorder="1"/>
    <xf numFmtId="0" fontId="1" fillId="9" borderId="42" xfId="0" applyFont="1" applyFill="1" applyBorder="1"/>
    <xf numFmtId="0" fontId="1" fillId="15" borderId="43" xfId="0" applyFont="1" applyFill="1" applyBorder="1"/>
    <xf numFmtId="0" fontId="1" fillId="15" borderId="44" xfId="0" applyFont="1" applyFill="1" applyBorder="1"/>
    <xf numFmtId="0" fontId="1" fillId="15" borderId="45" xfId="0" applyFont="1" applyFill="1" applyBorder="1"/>
    <xf numFmtId="0" fontId="1" fillId="16" borderId="46" xfId="0" applyFont="1" applyFill="1" applyBorder="1"/>
    <xf numFmtId="0" fontId="1" fillId="16" borderId="47" xfId="0" applyFont="1" applyFill="1" applyBorder="1"/>
    <xf numFmtId="0" fontId="1" fillId="16" borderId="48" xfId="0" applyFont="1" applyFill="1" applyBorder="1"/>
    <xf numFmtId="0" fontId="1" fillId="15" borderId="49" xfId="0" applyFont="1" applyFill="1" applyBorder="1"/>
    <xf numFmtId="0" fontId="1" fillId="15" borderId="0" xfId="0" applyFont="1" applyFill="1"/>
    <xf numFmtId="0" fontId="1" fillId="15" borderId="50" xfId="0" applyFont="1" applyFill="1" applyBorder="1"/>
    <xf numFmtId="0" fontId="1" fillId="16" borderId="51" xfId="0" applyFont="1" applyFill="1" applyBorder="1"/>
    <xf numFmtId="0" fontId="1" fillId="16" borderId="0" xfId="0" applyFont="1" applyFill="1"/>
    <xf numFmtId="0" fontId="1" fillId="16" borderId="52" xfId="0" applyFont="1" applyFill="1" applyBorder="1"/>
    <xf numFmtId="0" fontId="8" fillId="17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168" fontId="21" fillId="15" borderId="0" xfId="0" applyNumberFormat="1" applyFont="1" applyFill="1" applyAlignment="1">
      <alignment horizontal="left" vertical="center"/>
    </xf>
    <xf numFmtId="169" fontId="22" fillId="16" borderId="0" xfId="0" applyNumberFormat="1" applyFont="1" applyFill="1" applyAlignment="1">
      <alignment horizontal="left" vertical="center"/>
    </xf>
    <xf numFmtId="0" fontId="1" fillId="15" borderId="53" xfId="0" applyFont="1" applyFill="1" applyBorder="1"/>
    <xf numFmtId="0" fontId="1" fillId="15" borderId="54" xfId="0" applyFont="1" applyFill="1" applyBorder="1"/>
    <xf numFmtId="0" fontId="1" fillId="15" borderId="55" xfId="0" applyFont="1" applyFill="1" applyBorder="1"/>
    <xf numFmtId="0" fontId="1" fillId="16" borderId="56" xfId="0" applyFont="1" applyFill="1" applyBorder="1"/>
    <xf numFmtId="0" fontId="1" fillId="16" borderId="57" xfId="0" applyFont="1" applyFill="1" applyBorder="1"/>
    <xf numFmtId="0" fontId="1" fillId="16" borderId="58" xfId="0" applyFont="1" applyFill="1" applyBorder="1"/>
    <xf numFmtId="0" fontId="1" fillId="19" borderId="59" xfId="0" applyFont="1" applyFill="1" applyBorder="1"/>
    <xf numFmtId="0" fontId="1" fillId="19" borderId="60" xfId="0" applyFont="1" applyFill="1" applyBorder="1"/>
    <xf numFmtId="0" fontId="1" fillId="19" borderId="61" xfId="0" applyFont="1" applyFill="1" applyBorder="1"/>
    <xf numFmtId="0" fontId="1" fillId="19" borderId="62" xfId="0" applyFont="1" applyFill="1" applyBorder="1"/>
    <xf numFmtId="0" fontId="1" fillId="20" borderId="0" xfId="0" applyFont="1" applyFill="1"/>
    <xf numFmtId="0" fontId="23" fillId="20" borderId="0" xfId="0" applyFont="1" applyFill="1" applyAlignment="1">
      <alignment horizontal="center" vertical="center"/>
    </xf>
    <xf numFmtId="0" fontId="24" fillId="20" borderId="0" xfId="0" applyFont="1" applyFill="1" applyAlignment="1">
      <alignment horizontal="left" vertical="center"/>
    </xf>
    <xf numFmtId="0" fontId="1" fillId="19" borderId="63" xfId="0" applyFont="1" applyFill="1" applyBorder="1"/>
    <xf numFmtId="0" fontId="1" fillId="19" borderId="0" xfId="0" applyFont="1" applyFill="1"/>
    <xf numFmtId="0" fontId="1" fillId="14" borderId="8" xfId="0" applyFont="1" applyFill="1" applyBorder="1"/>
    <xf numFmtId="0" fontId="1" fillId="14" borderId="9" xfId="0" applyFont="1" applyFill="1" applyBorder="1"/>
    <xf numFmtId="0" fontId="1" fillId="14" borderId="10" xfId="0" applyFont="1" applyFill="1" applyBorder="1"/>
    <xf numFmtId="0" fontId="1" fillId="21" borderId="64" xfId="0" applyFont="1" applyFill="1" applyBorder="1"/>
    <xf numFmtId="0" fontId="1" fillId="21" borderId="65" xfId="0" applyFont="1" applyFill="1" applyBorder="1"/>
    <xf numFmtId="0" fontId="1" fillId="21" borderId="66" xfId="0" applyFont="1" applyFill="1" applyBorder="1"/>
    <xf numFmtId="0" fontId="1" fillId="21" borderId="67" xfId="0" applyFont="1" applyFill="1" applyBorder="1"/>
    <xf numFmtId="0" fontId="1" fillId="21" borderId="0" xfId="0" applyFont="1" applyFill="1"/>
    <xf numFmtId="0" fontId="25" fillId="21" borderId="0" xfId="0" applyFont="1" applyFill="1" applyAlignment="1">
      <alignment horizontal="center" vertical="center"/>
    </xf>
    <xf numFmtId="0" fontId="1" fillId="21" borderId="68" xfId="0" applyFont="1" applyFill="1" applyBorder="1"/>
    <xf numFmtId="0" fontId="10" fillId="21" borderId="0" xfId="0" applyFont="1" applyFill="1" applyAlignment="1">
      <alignment horizontal="left" vertical="center"/>
    </xf>
    <xf numFmtId="0" fontId="26" fillId="21" borderId="0" xfId="0" applyFont="1" applyFill="1" applyAlignment="1">
      <alignment horizontal="left" vertical="top" wrapText="1"/>
    </xf>
    <xf numFmtId="0" fontId="1" fillId="21" borderId="69" xfId="0" applyFont="1" applyFill="1" applyBorder="1"/>
    <xf numFmtId="0" fontId="1" fillId="21" borderId="70" xfId="0" applyFont="1" applyFill="1" applyBorder="1"/>
    <xf numFmtId="0" fontId="1" fillId="21" borderId="71" xfId="0" applyFont="1" applyFill="1" applyBorder="1"/>
    <xf numFmtId="0" fontId="1" fillId="22" borderId="72" xfId="0" applyFont="1" applyFill="1" applyBorder="1"/>
    <xf numFmtId="0" fontId="1" fillId="22" borderId="73" xfId="0" applyFont="1" applyFill="1" applyBorder="1"/>
    <xf numFmtId="0" fontId="1" fillId="22" borderId="74" xfId="0" applyFont="1" applyFill="1" applyBorder="1"/>
    <xf numFmtId="0" fontId="1" fillId="22" borderId="75" xfId="0" applyFont="1" applyFill="1" applyBorder="1"/>
    <xf numFmtId="0" fontId="1" fillId="22" borderId="0" xfId="0" applyFont="1" applyFill="1"/>
    <xf numFmtId="0" fontId="1" fillId="22" borderId="76" xfId="0" applyFont="1" applyFill="1" applyBorder="1"/>
    <xf numFmtId="0" fontId="27" fillId="22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left" vertical="center"/>
    </xf>
    <xf numFmtId="0" fontId="1" fillId="19" borderId="77" xfId="0" applyFont="1" applyFill="1" applyBorder="1"/>
    <xf numFmtId="0" fontId="1" fillId="19" borderId="78" xfId="0" applyFont="1" applyFill="1" applyBorder="1"/>
    <xf numFmtId="167" fontId="28" fillId="19" borderId="0" xfId="0" applyNumberFormat="1" applyFont="1" applyFill="1" applyAlignment="1">
      <alignment horizontal="left" vertical="center"/>
    </xf>
    <xf numFmtId="0" fontId="1" fillId="19" borderId="79" xfId="0" applyFont="1" applyFill="1" applyBorder="1"/>
    <xf numFmtId="0" fontId="25" fillId="19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left" vertical="top" wrapText="1"/>
    </xf>
    <xf numFmtId="0" fontId="1" fillId="19" borderId="80" xfId="0" applyFont="1" applyFill="1" applyBorder="1"/>
    <xf numFmtId="0" fontId="1" fillId="19" borderId="81" xfId="0" applyFont="1" applyFill="1" applyBorder="1"/>
    <xf numFmtId="0" fontId="1" fillId="19" borderId="82" xfId="0" applyFont="1" applyFill="1" applyBorder="1"/>
    <xf numFmtId="0" fontId="1" fillId="19" borderId="83" xfId="0" applyFont="1" applyFill="1" applyBorder="1"/>
    <xf numFmtId="0" fontId="1" fillId="19" borderId="84" xfId="0" applyFont="1" applyFill="1" applyBorder="1"/>
    <xf numFmtId="0" fontId="1" fillId="19" borderId="85" xfId="0" applyFont="1" applyFill="1" applyBorder="1"/>
    <xf numFmtId="0" fontId="1" fillId="19" borderId="86" xfId="0" applyFont="1" applyFill="1" applyBorder="1"/>
    <xf numFmtId="170" fontId="30" fillId="19" borderId="0" xfId="0" applyNumberFormat="1" applyFont="1" applyFill="1" applyAlignment="1">
      <alignment horizontal="left" vertical="center"/>
    </xf>
    <xf numFmtId="1" fontId="28" fillId="19" borderId="0" xfId="0" applyNumberFormat="1" applyFont="1" applyFill="1" applyAlignment="1">
      <alignment horizontal="left" vertical="center"/>
    </xf>
    <xf numFmtId="0" fontId="1" fillId="22" borderId="87" xfId="0" applyFont="1" applyFill="1" applyBorder="1"/>
    <xf numFmtId="0" fontId="1" fillId="22" borderId="88" xfId="0" applyFont="1" applyFill="1" applyBorder="1"/>
    <xf numFmtId="0" fontId="1" fillId="22" borderId="8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1" Type="http://schemas.openxmlformats.org/officeDocument/2006/relationships/pivotCacheDefinition" Target="pivotCache/pivotCacheDefinition1.xml"/><Relationship Id="rId102" Type="http://schemas.microsoft.com/office/2007/relationships/slicerCache" Target="slicerCaches/slicerCache1.xml"/><Relationship Id="rId103" Type="http://schemas.microsoft.com/office/2007/relationships/slicerCache" Target="slicerCaches/slicerCach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Rides</c:v>
          </c:tx>
          <c:spPr>
            <a:ln w="28575">
              <a:solidFill>
                <a:srgbClr val="4E9A2F"/>
              </a:solidFill>
            </a:ln>
          </c:spPr>
          <c:marker>
            <c:symbol val="circle"/>
            <c:size val="6"/>
            <c:spPr>
              <a:solidFill>
                <a:srgbClr val="4E9A2F"/>
              </a:solidFill>
              <a:ln>
                <a:solidFill>
                  <a:srgbClr val="4E9A2F"/>
                </a:solidFill>
              </a:ln>
            </c:spPr>
          </c:marker>
          <c:cat>
            <c:strRef>
              <c:f>'Pivot Table 4'!$A$4:$A$17</c:f>
              <c:strCache>
                <c:ptCount val="14"/>
                <c:pt idx="0">
                  <c:v>11:25</c:v>
                </c:pt>
                <c:pt idx="1">
                  <c:v>11:30</c:v>
                </c:pt>
                <c:pt idx="2">
                  <c:v>11:35</c:v>
                </c:pt>
                <c:pt idx="3">
                  <c:v>11:40</c:v>
                </c:pt>
                <c:pt idx="4">
                  <c:v>11:45</c:v>
                </c:pt>
                <c:pt idx="5">
                  <c:v>11:50</c:v>
                </c:pt>
                <c:pt idx="6">
                  <c:v>11:55</c:v>
                </c:pt>
                <c:pt idx="7">
                  <c:v>12:00</c:v>
                </c:pt>
                <c:pt idx="8">
                  <c:v>12:05</c:v>
                </c:pt>
                <c:pt idx="9">
                  <c:v>12:10</c:v>
                </c:pt>
                <c:pt idx="10">
                  <c:v>12:15</c:v>
                </c:pt>
                <c:pt idx="11">
                  <c:v>12:20</c:v>
                </c:pt>
                <c:pt idx="12">
                  <c:v>12:25</c:v>
                </c:pt>
                <c:pt idx="13">
                  <c:v>12:30</c:v>
                </c:pt>
              </c:strCache>
            </c:strRef>
          </c:cat>
          <c:val>
            <c:numRef>
              <c:f>'Pivot Table 4'!$B$4:$B$17</c:f>
              <c:numCache>
                <c:formatCode>General</c:formatCode>
                <c:ptCount val="14"/>
                <c:pt idx="0">
                  <c:v>89</c:v>
                </c:pt>
                <c:pt idx="1">
                  <c:v>61</c:v>
                </c:pt>
                <c:pt idx="2">
                  <c:v>79</c:v>
                </c:pt>
                <c:pt idx="3">
                  <c:v>64</c:v>
                </c:pt>
                <c:pt idx="4">
                  <c:v>79</c:v>
                </c:pt>
                <c:pt idx="5">
                  <c:v>63</c:v>
                </c:pt>
                <c:pt idx="6">
                  <c:v>73</c:v>
                </c:pt>
                <c:pt idx="7">
                  <c:v>64</c:v>
                </c:pt>
                <c:pt idx="8">
                  <c:v>67</c:v>
                </c:pt>
                <c:pt idx="9">
                  <c:v>77</c:v>
                </c:pt>
                <c:pt idx="10">
                  <c:v>51</c:v>
                </c:pt>
                <c:pt idx="11">
                  <c:v>92</c:v>
                </c:pt>
                <c:pt idx="12">
                  <c:v>69</c:v>
                </c:pt>
                <c:pt idx="13">
                  <c:v>72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r>
                  <a:rPr lang="en-US" sz="1000" b="1" baseline="0">
                    <a:latin typeface="Segoe UI"/>
                  </a:rPr>
                  <a:t>Time</a:t>
                </a:r>
              </a:p>
            </c:rich>
          </c:tx>
          <c:layout/>
        </c:title>
        <c:tickLblPos val="nextTo"/>
        <c:spPr>
          <a:ln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baseline="0">
                    <a:latin typeface="Segoe UI"/>
                  </a:defRPr>
                </a:pPr>
                <a:r>
                  <a:rPr lang="en-US" sz="1000" b="1" baseline="0">
                    <a:latin typeface="Segoe UI"/>
                  </a:rPr>
                  <a:t>Number of Rides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B8BEB"/>
              </a:solidFill>
            </c:spPr>
          </c:dPt>
          <c:dPt>
            <c:idx val="1"/>
            <c:spPr>
              <a:solidFill>
                <a:srgbClr val="EE5A5A"/>
              </a:solidFill>
            </c:spPr>
          </c:dPt>
          <c:dPt>
            <c:idx val="2"/>
            <c:spPr>
              <a:solidFill>
                <a:srgbClr val="8BD05A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1F2937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'Pivot Table 1'!$A$4:$A$6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NO_DRIVER_AVAILABLE</c:v>
                </c:pt>
              </c:strCache>
            </c:strRef>
          </c:cat>
          <c:val>
            <c:numRef>
              <c:f>'Pivot Table 1'!$B$4:$B$6</c:f>
              <c:numCache>
                <c:formatCode>General</c:formatCode>
                <c:ptCount val="3"/>
                <c:pt idx="0">
                  <c:v>704</c:v>
                </c:pt>
                <c:pt idx="1">
                  <c:v>222</c:v>
                </c:pt>
                <c:pt idx="2">
                  <c:v>74</c:v>
                </c:pt>
              </c:numCache>
            </c:numRef>
          </c:val>
        </c:ser>
        <c:firstSliceAng val="0"/>
        <c:holeSize val="50"/>
      </c:doughnutChart>
      <c:spPr>
        <a:noFill/>
      </c:spPr>
    </c:plotArea>
    <c:legend>
      <c:legendPos val="r"/>
      <c:layout/>
      <c:txPr>
        <a:bodyPr/>
        <a:lstStyle/>
        <a:p>
          <a:pPr rtl="0">
            <a:defRPr sz="1000" baseline="0">
              <a:latin typeface="Segoe UI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spPr>
            <a:solidFill>
              <a:srgbClr val="3B8BEB"/>
            </a:solidFill>
          </c:spPr>
          <c:cat>
            <c:strRef>
              <c:f>'Pivot Table 2'!$A$4:$A$7</c:f>
              <c:strCache>
                <c:ptCount val="4"/>
                <c:pt idx="0">
                  <c:v>Mumbai_Andheri</c:v>
                </c:pt>
                <c:pt idx="1">
                  <c:v>Mumbai_Bandra</c:v>
                </c:pt>
                <c:pt idx="2">
                  <c:v>Mumbai_Colaba</c:v>
                </c:pt>
                <c:pt idx="3">
                  <c:v>Mumbai_Thane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4"/>
                <c:pt idx="0">
                  <c:v>272</c:v>
                </c:pt>
                <c:pt idx="1">
                  <c:v>222</c:v>
                </c:pt>
                <c:pt idx="2">
                  <c:v>265</c:v>
                </c:pt>
                <c:pt idx="3">
                  <c:v>241</c:v>
                </c:pt>
              </c:numCache>
            </c:numRef>
          </c:val>
        </c:ser>
        <c:gapWidth val="4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r>
                  <a:rPr lang="en-US" sz="1000" b="1" baseline="0">
                    <a:latin typeface="Segoe UI"/>
                  </a:rPr>
                  <a:t>Number of Rides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spPr>
            <a:solidFill>
              <a:srgbClr val="3B8BEB"/>
            </a:solidFill>
          </c:spPr>
          <c:cat>
            <c:strRef>
              <c:f>'Pivot Table 3'!$A$4:$A$7</c:f>
              <c:strCache>
                <c:ptCount val="4"/>
                <c:pt idx="0">
                  <c:v>Mumbai_Andheri</c:v>
                </c:pt>
                <c:pt idx="1">
                  <c:v>Mumbai_Bandra</c:v>
                </c:pt>
                <c:pt idx="2">
                  <c:v>Mumbai_Colaba</c:v>
                </c:pt>
                <c:pt idx="3">
                  <c:v>Mumbai_Thane</c:v>
                </c:pt>
              </c:strCache>
            </c:strRef>
          </c:cat>
          <c:val>
            <c:numRef>
              <c:f>'Pivot Table 3'!$B$4:$B$7</c:f>
              <c:numCache>
                <c:formatCode>General</c:formatCode>
                <c:ptCount val="4"/>
                <c:pt idx="0">
                  <c:v>305497.62</c:v>
                </c:pt>
                <c:pt idx="1">
                  <c:v>240807.78</c:v>
                </c:pt>
                <c:pt idx="2">
                  <c:v>275578.13</c:v>
                </c:pt>
                <c:pt idx="3">
                  <c:v>237481.22</c:v>
                </c:pt>
              </c:numCache>
            </c:numRef>
          </c:val>
        </c:ser>
        <c:gapWidth val="8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BFBFBF"/>
            </a:solidFill>
          </a:ln>
        </c:spPr>
        <c:txPr>
          <a:bodyPr rot="-2100000" vert="horz"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in val="0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latin typeface="Segoe UI"/>
                  </a:defRPr>
                </a:pPr>
                <a:r>
                  <a:rPr lang="en-US" sz="1000" b="1" baseline="0">
                    <a:latin typeface="Segoe UI"/>
                  </a:rPr>
                  <a:t>Revenue (₹)</a:t>
                </a:r>
              </a:p>
            </c:rich>
          </c:tx>
          <c:layout/>
        </c:title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1F2937"/>
                </a:solidFill>
                <a:latin typeface="Segoe U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38100</xdr:colOff>
      <xdr:row>61</xdr:row>
      <xdr:rowOff>19050</xdr:rowOff>
    </xdr:from>
    <xdr:to>
      <xdr:col>144</xdr:col>
      <xdr:colOff>38100</xdr:colOff>
      <xdr:row>98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148</xdr:col>
      <xdr:colOff>19050</xdr:colOff>
      <xdr:row>61</xdr:row>
      <xdr:rowOff>19050</xdr:rowOff>
    </xdr:from>
    <xdr:to>
      <xdr:col>234</xdr:col>
      <xdr:colOff>38100</xdr:colOff>
      <xdr:row>98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54</xdr:col>
      <xdr:colOff>38100</xdr:colOff>
      <xdr:row>109</xdr:row>
      <xdr:rowOff>38100</xdr:rowOff>
    </xdr:from>
    <xdr:to>
      <xdr:col>142</xdr:col>
      <xdr:colOff>19050</xdr:colOff>
      <xdr:row>145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146</xdr:col>
      <xdr:colOff>0</xdr:colOff>
      <xdr:row>109</xdr:row>
      <xdr:rowOff>38100</xdr:rowOff>
    </xdr:from>
    <xdr:to>
      <xdr:col>234</xdr:col>
      <xdr:colOff>38100</xdr:colOff>
      <xdr:row>145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28575</xdr:colOff>
      <xdr:row>31</xdr:row>
      <xdr:rowOff>38100</xdr:rowOff>
    </xdr:from>
    <xdr:to>
      <xdr:col>50</xdr:col>
      <xdr:colOff>0</xdr:colOff>
      <xdr:row>42</xdr:row>
      <xdr:rowOff>9525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01" name="Pickup Location"/>
            <xdr:cNvGraphicFramePr/>
          </xdr:nvGraphicFramePr>
          <xdr:xfrm>
            <a:off xmlns:a="http://schemas.openxmlformats.org/drawingml/2006/main" x="0" y="0"/>
            <a:ext xmlns:a="http://schemas.openxmlformats.org/drawingml/2006/main" cx="0" cy="0"/>
          </xdr:xfrm>
          <a:graphic xmlns:a="http://schemas.openxmlformats.org/drawingml/2006/main">
            <a:graphicData uri="http://schemas.microsoft.com/office/drawing/2010/slicer">
              <sle:slicer xmlns:sle="http://schemas.microsoft.com/office/drawing/2010/slicer" name="Pickup Location"/>
            </a:graphicData>
          </a:graphic>
        </xdr:graphicFrame>
      </mc:Choice>
      <mc:Fallback>
        <xdr:sp macro="" textlink="">
          <xdr:nvSpPr>
            <xdr:cNvPr id="901" name="Pickup Location"/>
            <xdr:cNvSpPr>
              <a:spLocks xmlns:a="http://schemas.openxmlformats.org/drawingml/2006/main" noTextEdit="1"/>
            </xdr:cNvSpPr>
          </xdr:nvSpPr>
          <xdr:spPr>
            <a:xfrm xmlns:a="http://schemas.openxmlformats.org/drawingml/2006/main">
              <a:off x="0" y="0"/>
              <a:ext cx="1828800" cy="1188720"/>
            </a:xfrm>
            <a:prstGeom xmlns:a="http://schemas.openxmlformats.org/drawingml/2006/main" prst="rect">
              <a:avLst/>
            </a:prstGeom>
          </xdr:spPr>
        </xdr:sp>
      </mc:Fallback>
    </mc:AlternateContent>
    <xdr:clientData/>
  </xdr:twoCellAnchor>
  <xdr:twoCellAnchor>
    <xdr:from>
      <xdr:col>3</xdr:col>
      <xdr:colOff>28575</xdr:colOff>
      <xdr:row>47</xdr:row>
      <xdr:rowOff>28575</xdr:rowOff>
    </xdr:from>
    <xdr:to>
      <xdr:col>50</xdr:col>
      <xdr:colOff>0</xdr:colOff>
      <xdr:row>60</xdr:row>
      <xdr:rowOff>9525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02" name="Ride Status"/>
            <xdr:cNvGraphicFramePr/>
          </xdr:nvGraphicFramePr>
          <xdr:xfrm>
            <a:off xmlns:a="http://schemas.openxmlformats.org/drawingml/2006/main" x="0" y="0"/>
            <a:ext xmlns:a="http://schemas.openxmlformats.org/drawingml/2006/main" cx="0" cy="0"/>
          </xdr:xfrm>
          <a:graphic xmlns:a="http://schemas.openxmlformats.org/drawingml/2006/main">
            <a:graphicData uri="http://schemas.microsoft.com/office/drawing/2010/slicer">
              <sle:slicer xmlns:sle="http://schemas.microsoft.com/office/drawing/2010/slicer" name="Ride Status"/>
            </a:graphicData>
          </a:graphic>
        </xdr:graphicFrame>
      </mc:Choice>
      <mc:Fallback>
        <xdr:sp macro="" textlink="">
          <xdr:nvSpPr>
            <xdr:cNvPr id="902" name="Ride Status"/>
            <xdr:cNvSpPr>
              <a:spLocks xmlns:a="http://schemas.openxmlformats.org/drawingml/2006/main" noTextEdit="1"/>
            </xdr:cNvSpPr>
          </xdr:nvSpPr>
          <xdr:spPr>
            <a:xfrm xmlns:a="http://schemas.openxmlformats.org/drawingml/2006/main">
              <a:off x="0" y="0"/>
              <a:ext cx="1828800" cy="1188720"/>
            </a:xfrm>
            <a:prstGeom xmlns:a="http://schemas.openxmlformats.org/drawingml/2006/main" prst="rect">
              <a:avLst/>
            </a:prstGeom>
          </xdr:spPr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Claude" refreshedDate="46169" createdVersion="6" refreshedVersion="6" minRefreshableVersion="3" recordCount="1000">
  <cacheSource type="worksheet">
    <worksheetSource name="RideData"/>
  </cacheSource>
  <cacheFields count="7">
    <cacheField name="ride_id" numFmtId="0">
      <sharedItems count="1000">
        <s v="RIDE1001"/>
        <s v="RIDE1002"/>
        <s v="RIDE1003"/>
        <s v="RIDE1004"/>
        <s v="RIDE1005"/>
        <s v="RIDE1006"/>
        <s v="RIDE1007"/>
        <s v="RIDE1008"/>
        <s v="RIDE1009"/>
        <s v="RIDE1010"/>
        <s v="RIDE1011"/>
        <s v="RIDE1012"/>
        <s v="RIDE1013"/>
        <s v="RIDE1014"/>
        <s v="RIDE1015"/>
        <s v="RIDE1016"/>
        <s v="RIDE1017"/>
        <s v="RIDE1018"/>
        <s v="RIDE1019"/>
        <s v="RIDE1020"/>
        <s v="RIDE1021"/>
        <s v="RIDE1022"/>
        <s v="RIDE1023"/>
        <s v="RIDE1024"/>
        <s v="RIDE1025"/>
        <s v="RIDE1026"/>
        <s v="RIDE1027"/>
        <s v="RIDE1028"/>
        <s v="RIDE1029"/>
        <s v="RIDE1030"/>
        <s v="RIDE1031"/>
        <s v="RIDE1032"/>
        <s v="RIDE1033"/>
        <s v="RIDE1034"/>
        <s v="RIDE1035"/>
        <s v="RIDE1036"/>
        <s v="RIDE1037"/>
        <s v="RIDE1038"/>
        <s v="RIDE1039"/>
        <s v="RIDE1040"/>
        <s v="RIDE1041"/>
        <s v="RIDE1042"/>
        <s v="RIDE1043"/>
        <s v="RIDE1044"/>
        <s v="RIDE1045"/>
        <s v="RIDE1046"/>
        <s v="RIDE1047"/>
        <s v="RIDE1048"/>
        <s v="RIDE1049"/>
        <s v="RIDE1050"/>
        <s v="RIDE1051"/>
        <s v="RIDE1052"/>
        <s v="RIDE1053"/>
        <s v="RIDE1054"/>
        <s v="RIDE1055"/>
        <s v="RIDE1056"/>
        <s v="RIDE1057"/>
        <s v="RIDE1058"/>
        <s v="RIDE1059"/>
        <s v="RIDE1060"/>
        <s v="RIDE1061"/>
        <s v="RIDE1062"/>
        <s v="RIDE1063"/>
        <s v="RIDE1064"/>
        <s v="RIDE1065"/>
        <s v="RIDE1066"/>
        <s v="RIDE1067"/>
        <s v="RIDE1068"/>
        <s v="RIDE1069"/>
        <s v="RIDE1070"/>
        <s v="RIDE1071"/>
        <s v="RIDE1072"/>
        <s v="RIDE1073"/>
        <s v="RIDE1074"/>
        <s v="RIDE1075"/>
        <s v="RIDE1076"/>
        <s v="RIDE1077"/>
        <s v="RIDE1078"/>
        <s v="RIDE1079"/>
        <s v="RIDE1080"/>
        <s v="RIDE1081"/>
        <s v="RIDE1082"/>
        <s v="RIDE1083"/>
        <s v="RIDE1084"/>
        <s v="RIDE1085"/>
        <s v="RIDE1086"/>
        <s v="RIDE1087"/>
        <s v="RIDE1088"/>
        <s v="RIDE1089"/>
        <s v="RIDE1090"/>
        <s v="RIDE1091"/>
        <s v="RIDE1092"/>
        <s v="RIDE1093"/>
        <s v="RIDE1094"/>
        <s v="RIDE1095"/>
        <s v="RIDE1096"/>
        <s v="RIDE1097"/>
        <s v="RIDE1098"/>
        <s v="RIDE1099"/>
        <s v="RIDE1100"/>
        <s v="RIDE1101"/>
        <s v="RIDE1102"/>
        <s v="RIDE1103"/>
        <s v="RIDE1104"/>
        <s v="RIDE1105"/>
        <s v="RIDE1106"/>
        <s v="RIDE1107"/>
        <s v="RIDE1108"/>
        <s v="RIDE1109"/>
        <s v="RIDE1110"/>
        <s v="RIDE1111"/>
        <s v="RIDE1112"/>
        <s v="RIDE1113"/>
        <s v="RIDE1114"/>
        <s v="RIDE1115"/>
        <s v="RIDE1116"/>
        <s v="RIDE1117"/>
        <s v="RIDE1118"/>
        <s v="RIDE1119"/>
        <s v="RIDE1120"/>
        <s v="RIDE1121"/>
        <s v="RIDE1122"/>
        <s v="RIDE1123"/>
        <s v="RIDE1124"/>
        <s v="RIDE1125"/>
        <s v="RIDE1126"/>
        <s v="RIDE1127"/>
        <s v="RIDE1128"/>
        <s v="RIDE1129"/>
        <s v="RIDE1130"/>
        <s v="RIDE1131"/>
        <s v="RIDE1132"/>
        <s v="RIDE1133"/>
        <s v="RIDE1134"/>
        <s v="RIDE1135"/>
        <s v="RIDE1136"/>
        <s v="RIDE1137"/>
        <s v="RIDE1138"/>
        <s v="RIDE1139"/>
        <s v="RIDE1140"/>
        <s v="RIDE1141"/>
        <s v="RIDE1142"/>
        <s v="RIDE1143"/>
        <s v="RIDE1144"/>
        <s v="RIDE1145"/>
        <s v="RIDE1146"/>
        <s v="RIDE1147"/>
        <s v="RIDE1148"/>
        <s v="RIDE1149"/>
        <s v="RIDE1150"/>
        <s v="RIDE1151"/>
        <s v="RIDE1152"/>
        <s v="RIDE1153"/>
        <s v="RIDE1154"/>
        <s v="RIDE1155"/>
        <s v="RIDE1156"/>
        <s v="RIDE1157"/>
        <s v="RIDE1158"/>
        <s v="RIDE1159"/>
        <s v="RIDE1160"/>
        <s v="RIDE1161"/>
        <s v="RIDE1162"/>
        <s v="RIDE1163"/>
        <s v="RIDE1164"/>
        <s v="RIDE1165"/>
        <s v="RIDE1166"/>
        <s v="RIDE1167"/>
        <s v="RIDE1168"/>
        <s v="RIDE1169"/>
        <s v="RIDE1170"/>
        <s v="RIDE1171"/>
        <s v="RIDE1172"/>
        <s v="RIDE1173"/>
        <s v="RIDE1174"/>
        <s v="RIDE1175"/>
        <s v="RIDE1176"/>
        <s v="RIDE1177"/>
        <s v="RIDE1178"/>
        <s v="RIDE1179"/>
        <s v="RIDE1180"/>
        <s v="RIDE1181"/>
        <s v="RIDE1182"/>
        <s v="RIDE1183"/>
        <s v="RIDE1184"/>
        <s v="RIDE1185"/>
        <s v="RIDE1186"/>
        <s v="RIDE1187"/>
        <s v="RIDE1188"/>
        <s v="RIDE1189"/>
        <s v="RIDE1190"/>
        <s v="RIDE1191"/>
        <s v="RIDE1192"/>
        <s v="RIDE1193"/>
        <s v="RIDE1194"/>
        <s v="RIDE1195"/>
        <s v="RIDE1196"/>
        <s v="RIDE1197"/>
        <s v="RIDE1198"/>
        <s v="RIDE1199"/>
        <s v="RIDE1200"/>
        <s v="RIDE1201"/>
        <s v="RIDE1202"/>
        <s v="RIDE1203"/>
        <s v="RIDE1204"/>
        <s v="RIDE1205"/>
        <s v="RIDE1206"/>
        <s v="RIDE1207"/>
        <s v="RIDE1208"/>
        <s v="RIDE1209"/>
        <s v="RIDE1210"/>
        <s v="RIDE1211"/>
        <s v="RIDE1212"/>
        <s v="RIDE1213"/>
        <s v="RIDE1214"/>
        <s v="RIDE1215"/>
        <s v="RIDE1216"/>
        <s v="RIDE1217"/>
        <s v="RIDE1218"/>
        <s v="RIDE1219"/>
        <s v="RIDE1220"/>
        <s v="RIDE1221"/>
        <s v="RIDE1222"/>
        <s v="RIDE1223"/>
        <s v="RIDE1224"/>
        <s v="RIDE1225"/>
        <s v="RIDE1226"/>
        <s v="RIDE1227"/>
        <s v="RIDE1228"/>
        <s v="RIDE1229"/>
        <s v="RIDE1230"/>
        <s v="RIDE1231"/>
        <s v="RIDE1232"/>
        <s v="RIDE1233"/>
        <s v="RIDE1234"/>
        <s v="RIDE1235"/>
        <s v="RIDE1236"/>
        <s v="RIDE1237"/>
        <s v="RIDE1238"/>
        <s v="RIDE1239"/>
        <s v="RIDE1240"/>
        <s v="RIDE1241"/>
        <s v="RIDE1242"/>
        <s v="RIDE1243"/>
        <s v="RIDE1244"/>
        <s v="RIDE1245"/>
        <s v="RIDE1246"/>
        <s v="RIDE1247"/>
        <s v="RIDE1248"/>
        <s v="RIDE1249"/>
        <s v="RIDE1250"/>
        <s v="RIDE1251"/>
        <s v="RIDE1252"/>
        <s v="RIDE1253"/>
        <s v="RIDE1254"/>
        <s v="RIDE1255"/>
        <s v="RIDE1256"/>
        <s v="RIDE1257"/>
        <s v="RIDE1258"/>
        <s v="RIDE1259"/>
        <s v="RIDE1260"/>
        <s v="RIDE1261"/>
        <s v="RIDE1262"/>
        <s v="RIDE1263"/>
        <s v="RIDE1264"/>
        <s v="RIDE1265"/>
        <s v="RIDE1266"/>
        <s v="RIDE1267"/>
        <s v="RIDE1268"/>
        <s v="RIDE1269"/>
        <s v="RIDE1270"/>
        <s v="RIDE1271"/>
        <s v="RIDE1272"/>
        <s v="RIDE1273"/>
        <s v="RIDE1274"/>
        <s v="RIDE1275"/>
        <s v="RIDE1276"/>
        <s v="RIDE1277"/>
        <s v="RIDE1278"/>
        <s v="RIDE1279"/>
        <s v="RIDE1280"/>
        <s v="RIDE1281"/>
        <s v="RIDE1282"/>
        <s v="RIDE1283"/>
        <s v="RIDE1284"/>
        <s v="RIDE1285"/>
        <s v="RIDE1286"/>
        <s v="RIDE1287"/>
        <s v="RIDE1288"/>
        <s v="RIDE1289"/>
        <s v="RIDE1290"/>
        <s v="RIDE1291"/>
        <s v="RIDE1292"/>
        <s v="RIDE1293"/>
        <s v="RIDE1294"/>
        <s v="RIDE1295"/>
        <s v="RIDE1296"/>
        <s v="RIDE1297"/>
        <s v="RIDE1298"/>
        <s v="RIDE1299"/>
        <s v="RIDE1300"/>
        <s v="RIDE1301"/>
        <s v="RIDE1302"/>
        <s v="RIDE1303"/>
        <s v="RIDE1304"/>
        <s v="RIDE1305"/>
        <s v="RIDE1306"/>
        <s v="RIDE1307"/>
        <s v="RIDE1308"/>
        <s v="RIDE1309"/>
        <s v="RIDE1310"/>
        <s v="RIDE1311"/>
        <s v="RIDE1312"/>
        <s v="RIDE1313"/>
        <s v="RIDE1314"/>
        <s v="RIDE1315"/>
        <s v="RIDE1316"/>
        <s v="RIDE1317"/>
        <s v="RIDE1318"/>
        <s v="RIDE1319"/>
        <s v="RIDE1320"/>
        <s v="RIDE1321"/>
        <s v="RIDE1322"/>
        <s v="RIDE1323"/>
        <s v="RIDE1324"/>
        <s v="RIDE1325"/>
        <s v="RIDE1326"/>
        <s v="RIDE1327"/>
        <s v="RIDE1328"/>
        <s v="RIDE1329"/>
        <s v="RIDE1330"/>
        <s v="RIDE1331"/>
        <s v="RIDE1332"/>
        <s v="RIDE1333"/>
        <s v="RIDE1334"/>
        <s v="RIDE1335"/>
        <s v="RIDE1336"/>
        <s v="RIDE1337"/>
        <s v="RIDE1338"/>
        <s v="RIDE1339"/>
        <s v="RIDE1340"/>
        <s v="RIDE1341"/>
        <s v="RIDE1342"/>
        <s v="RIDE1343"/>
        <s v="RIDE1344"/>
        <s v="RIDE1345"/>
        <s v="RIDE1346"/>
        <s v="RIDE1347"/>
        <s v="RIDE1348"/>
        <s v="RIDE1349"/>
        <s v="RIDE1350"/>
        <s v="RIDE1351"/>
        <s v="RIDE1352"/>
        <s v="RIDE1353"/>
        <s v="RIDE1354"/>
        <s v="RIDE1355"/>
        <s v="RIDE1356"/>
        <s v="RIDE1357"/>
        <s v="RIDE1358"/>
        <s v="RIDE1359"/>
        <s v="RIDE1360"/>
        <s v="RIDE1361"/>
        <s v="RIDE1362"/>
        <s v="RIDE1363"/>
        <s v="RIDE1364"/>
        <s v="RIDE1365"/>
        <s v="RIDE1366"/>
        <s v="RIDE1367"/>
        <s v="RIDE1368"/>
        <s v="RIDE1369"/>
        <s v="RIDE1370"/>
        <s v="RIDE1371"/>
        <s v="RIDE1372"/>
        <s v="RIDE1373"/>
        <s v="RIDE1374"/>
        <s v="RIDE1375"/>
        <s v="RIDE1376"/>
        <s v="RIDE1377"/>
        <s v="RIDE1378"/>
        <s v="RIDE1379"/>
        <s v="RIDE1380"/>
        <s v="RIDE1381"/>
        <s v="RIDE1382"/>
        <s v="RIDE1383"/>
        <s v="RIDE1384"/>
        <s v="RIDE1385"/>
        <s v="RIDE1386"/>
        <s v="RIDE1387"/>
        <s v="RIDE1388"/>
        <s v="RIDE1389"/>
        <s v="RIDE1390"/>
        <s v="RIDE1391"/>
        <s v="RIDE1392"/>
        <s v="RIDE1393"/>
        <s v="RIDE1394"/>
        <s v="RIDE1395"/>
        <s v="RIDE1396"/>
        <s v="RIDE1397"/>
        <s v="RIDE1398"/>
        <s v="RIDE1399"/>
        <s v="RIDE1400"/>
        <s v="RIDE1401"/>
        <s v="RIDE1402"/>
        <s v="RIDE1403"/>
        <s v="RIDE1404"/>
        <s v="RIDE1405"/>
        <s v="RIDE1406"/>
        <s v="RIDE1407"/>
        <s v="RIDE1408"/>
        <s v="RIDE1409"/>
        <s v="RIDE1410"/>
        <s v="RIDE1411"/>
        <s v="RIDE1412"/>
        <s v="RIDE1413"/>
        <s v="RIDE1414"/>
        <s v="RIDE1415"/>
        <s v="RIDE1416"/>
        <s v="RIDE1417"/>
        <s v="RIDE1418"/>
        <s v="RIDE1419"/>
        <s v="RIDE1420"/>
        <s v="RIDE1421"/>
        <s v="RIDE1422"/>
        <s v="RIDE1423"/>
        <s v="RIDE1424"/>
        <s v="RIDE1425"/>
        <s v="RIDE1426"/>
        <s v="RIDE1427"/>
        <s v="RIDE1428"/>
        <s v="RIDE1429"/>
        <s v="RIDE1430"/>
        <s v="RIDE1431"/>
        <s v="RIDE1432"/>
        <s v="RIDE1433"/>
        <s v="RIDE1434"/>
        <s v="RIDE1435"/>
        <s v="RIDE1436"/>
        <s v="RIDE1437"/>
        <s v="RIDE1438"/>
        <s v="RIDE1439"/>
        <s v="RIDE1440"/>
        <s v="RIDE1441"/>
        <s v="RIDE1442"/>
        <s v="RIDE1443"/>
        <s v="RIDE1444"/>
        <s v="RIDE1445"/>
        <s v="RIDE1446"/>
        <s v="RIDE1447"/>
        <s v="RIDE1448"/>
        <s v="RIDE1449"/>
        <s v="RIDE1450"/>
        <s v="RIDE1451"/>
        <s v="RIDE1452"/>
        <s v="RIDE1453"/>
        <s v="RIDE1454"/>
        <s v="RIDE1455"/>
        <s v="RIDE1456"/>
        <s v="RIDE1457"/>
        <s v="RIDE1458"/>
        <s v="RIDE1459"/>
        <s v="RIDE1460"/>
        <s v="RIDE1461"/>
        <s v="RIDE1462"/>
        <s v="RIDE1463"/>
        <s v="RIDE1464"/>
        <s v="RIDE1465"/>
        <s v="RIDE1466"/>
        <s v="RIDE1467"/>
        <s v="RIDE1468"/>
        <s v="RIDE1469"/>
        <s v="RIDE1470"/>
        <s v="RIDE1471"/>
        <s v="RIDE1472"/>
        <s v="RIDE1473"/>
        <s v="RIDE1474"/>
        <s v="RIDE1475"/>
        <s v="RIDE1476"/>
        <s v="RIDE1477"/>
        <s v="RIDE1478"/>
        <s v="RIDE1479"/>
        <s v="RIDE1480"/>
        <s v="RIDE1481"/>
        <s v="RIDE1482"/>
        <s v="RIDE1483"/>
        <s v="RIDE1484"/>
        <s v="RIDE1485"/>
        <s v="RIDE1486"/>
        <s v="RIDE1487"/>
        <s v="RIDE1488"/>
        <s v="RIDE1489"/>
        <s v="RIDE1490"/>
        <s v="RIDE1491"/>
        <s v="RIDE1492"/>
        <s v="RIDE1493"/>
        <s v="RIDE1494"/>
        <s v="RIDE1495"/>
        <s v="RIDE1496"/>
        <s v="RIDE1497"/>
        <s v="RIDE1498"/>
        <s v="RIDE1499"/>
        <s v="RIDE1500"/>
        <s v="RIDE1501"/>
        <s v="RIDE1502"/>
        <s v="RIDE1503"/>
        <s v="RIDE1504"/>
        <s v="RIDE1505"/>
        <s v="RIDE1506"/>
        <s v="RIDE1507"/>
        <s v="RIDE1508"/>
        <s v="RIDE1509"/>
        <s v="RIDE1510"/>
        <s v="RIDE1511"/>
        <s v="RIDE1512"/>
        <s v="RIDE1513"/>
        <s v="RIDE1514"/>
        <s v="RIDE1515"/>
        <s v="RIDE1516"/>
        <s v="RIDE1517"/>
        <s v="RIDE1518"/>
        <s v="RIDE1519"/>
        <s v="RIDE1520"/>
        <s v="RIDE1521"/>
        <s v="RIDE1522"/>
        <s v="RIDE1523"/>
        <s v="RIDE1524"/>
        <s v="RIDE1525"/>
        <s v="RIDE1526"/>
        <s v="RIDE1527"/>
        <s v="RIDE1528"/>
        <s v="RIDE1529"/>
        <s v="RIDE1530"/>
        <s v="RIDE1531"/>
        <s v="RIDE1532"/>
        <s v="RIDE1533"/>
        <s v="RIDE1534"/>
        <s v="RIDE1535"/>
        <s v="RIDE1536"/>
        <s v="RIDE1537"/>
        <s v="RIDE1538"/>
        <s v="RIDE1539"/>
        <s v="RIDE1540"/>
        <s v="RIDE1541"/>
        <s v="RIDE1542"/>
        <s v="RIDE1543"/>
        <s v="RIDE1544"/>
        <s v="RIDE1545"/>
        <s v="RIDE1546"/>
        <s v="RIDE1547"/>
        <s v="RIDE1548"/>
        <s v="RIDE1549"/>
        <s v="RIDE1550"/>
        <s v="RIDE1551"/>
        <s v="RIDE1552"/>
        <s v="RIDE1553"/>
        <s v="RIDE1554"/>
        <s v="RIDE1555"/>
        <s v="RIDE1556"/>
        <s v="RIDE1557"/>
        <s v="RIDE1558"/>
        <s v="RIDE1559"/>
        <s v="RIDE1560"/>
        <s v="RIDE1561"/>
        <s v="RIDE1562"/>
        <s v="RIDE1563"/>
        <s v="RIDE1564"/>
        <s v="RIDE1565"/>
        <s v="RIDE1566"/>
        <s v="RIDE1567"/>
        <s v="RIDE1568"/>
        <s v="RIDE1569"/>
        <s v="RIDE1570"/>
        <s v="RIDE1571"/>
        <s v="RIDE1572"/>
        <s v="RIDE1573"/>
        <s v="RIDE1574"/>
        <s v="RIDE1575"/>
        <s v="RIDE1576"/>
        <s v="RIDE1577"/>
        <s v="RIDE1578"/>
        <s v="RIDE1579"/>
        <s v="RIDE1580"/>
        <s v="RIDE1581"/>
        <s v="RIDE1582"/>
        <s v="RIDE1583"/>
        <s v="RIDE1584"/>
        <s v="RIDE1585"/>
        <s v="RIDE1586"/>
        <s v="RIDE1587"/>
        <s v="RIDE1588"/>
        <s v="RIDE1589"/>
        <s v="RIDE1590"/>
        <s v="RIDE1591"/>
        <s v="RIDE1592"/>
        <s v="RIDE1593"/>
        <s v="RIDE1594"/>
        <s v="RIDE1595"/>
        <s v="RIDE1596"/>
        <s v="RIDE1597"/>
        <s v="RIDE1598"/>
        <s v="RIDE1599"/>
        <s v="RIDE1600"/>
        <s v="RIDE1601"/>
        <s v="RIDE1602"/>
        <s v="RIDE1603"/>
        <s v="RIDE1604"/>
        <s v="RIDE1605"/>
        <s v="RIDE1606"/>
        <s v="RIDE1607"/>
        <s v="RIDE1608"/>
        <s v="RIDE1609"/>
        <s v="RIDE1610"/>
        <s v="RIDE1611"/>
        <s v="RIDE1612"/>
        <s v="RIDE1613"/>
        <s v="RIDE1614"/>
        <s v="RIDE1615"/>
        <s v="RIDE1616"/>
        <s v="RIDE1617"/>
        <s v="RIDE1618"/>
        <s v="RIDE1619"/>
        <s v="RIDE1620"/>
        <s v="RIDE1621"/>
        <s v="RIDE1622"/>
        <s v="RIDE1623"/>
        <s v="RIDE1624"/>
        <s v="RIDE1625"/>
        <s v="RIDE1626"/>
        <s v="RIDE1627"/>
        <s v="RIDE1628"/>
        <s v="RIDE1629"/>
        <s v="RIDE1630"/>
        <s v="RIDE1631"/>
        <s v="RIDE1632"/>
        <s v="RIDE1633"/>
        <s v="RIDE1634"/>
        <s v="RIDE1635"/>
        <s v="RIDE1636"/>
        <s v="RIDE1637"/>
        <s v="RIDE1638"/>
        <s v="RIDE1639"/>
        <s v="RIDE1640"/>
        <s v="RIDE1641"/>
        <s v="RIDE1642"/>
        <s v="RIDE1643"/>
        <s v="RIDE1644"/>
        <s v="RIDE1645"/>
        <s v="RIDE1646"/>
        <s v="RIDE1647"/>
        <s v="RIDE1648"/>
        <s v="RIDE1649"/>
        <s v="RIDE1650"/>
        <s v="RIDE1651"/>
        <s v="RIDE1652"/>
        <s v="RIDE1653"/>
        <s v="RIDE1654"/>
        <s v="RIDE1655"/>
        <s v="RIDE1656"/>
        <s v="RIDE1657"/>
        <s v="RIDE1658"/>
        <s v="RIDE1659"/>
        <s v="RIDE1660"/>
        <s v="RIDE1661"/>
        <s v="RIDE1662"/>
        <s v="RIDE1663"/>
        <s v="RIDE1664"/>
        <s v="RIDE1665"/>
        <s v="RIDE1666"/>
        <s v="RIDE1667"/>
        <s v="RIDE1668"/>
        <s v="RIDE1669"/>
        <s v="RIDE1670"/>
        <s v="RIDE1671"/>
        <s v="RIDE1672"/>
        <s v="RIDE1673"/>
        <s v="RIDE1674"/>
        <s v="RIDE1675"/>
        <s v="RIDE1676"/>
        <s v="RIDE1677"/>
        <s v="RIDE1678"/>
        <s v="RIDE1679"/>
        <s v="RIDE1680"/>
        <s v="RIDE1681"/>
        <s v="RIDE1682"/>
        <s v="RIDE1683"/>
        <s v="RIDE1684"/>
        <s v="RIDE1685"/>
        <s v="RIDE1686"/>
        <s v="RIDE1687"/>
        <s v="RIDE1688"/>
        <s v="RIDE1689"/>
        <s v="RIDE1690"/>
        <s v="RIDE1691"/>
        <s v="RIDE1692"/>
        <s v="RIDE1693"/>
        <s v="RIDE1694"/>
        <s v="RIDE1695"/>
        <s v="RIDE1696"/>
        <s v="RIDE1697"/>
        <s v="RIDE1698"/>
        <s v="RIDE1699"/>
        <s v="RIDE1700"/>
        <s v="RIDE1701"/>
        <s v="RIDE1702"/>
        <s v="RIDE1703"/>
        <s v="RIDE1704"/>
        <s v="RIDE1705"/>
        <s v="RIDE1706"/>
        <s v="RIDE1707"/>
        <s v="RIDE1708"/>
        <s v="RIDE1709"/>
        <s v="RIDE1710"/>
        <s v="RIDE1711"/>
        <s v="RIDE1712"/>
        <s v="RIDE1713"/>
        <s v="RIDE1714"/>
        <s v="RIDE1715"/>
        <s v="RIDE1716"/>
        <s v="RIDE1717"/>
        <s v="RIDE1718"/>
        <s v="RIDE1719"/>
        <s v="RIDE1720"/>
        <s v="RIDE1721"/>
        <s v="RIDE1722"/>
        <s v="RIDE1723"/>
        <s v="RIDE1724"/>
        <s v="RIDE1725"/>
        <s v="RIDE1726"/>
        <s v="RIDE1727"/>
        <s v="RIDE1728"/>
        <s v="RIDE1729"/>
        <s v="RIDE1730"/>
        <s v="RIDE1731"/>
        <s v="RIDE1732"/>
        <s v="RIDE1733"/>
        <s v="RIDE1734"/>
        <s v="RIDE1735"/>
        <s v="RIDE1736"/>
        <s v="RIDE1737"/>
        <s v="RIDE1738"/>
        <s v="RIDE1739"/>
        <s v="RIDE1740"/>
        <s v="RIDE1741"/>
        <s v="RIDE1742"/>
        <s v="RIDE1743"/>
        <s v="RIDE1744"/>
        <s v="RIDE1745"/>
        <s v="RIDE1746"/>
        <s v="RIDE1747"/>
        <s v="RIDE1748"/>
        <s v="RIDE1749"/>
        <s v="RIDE1750"/>
        <s v="RIDE1751"/>
        <s v="RIDE1752"/>
        <s v="RIDE1753"/>
        <s v="RIDE1754"/>
        <s v="RIDE1755"/>
        <s v="RIDE1756"/>
        <s v="RIDE1757"/>
        <s v="RIDE1758"/>
        <s v="RIDE1759"/>
        <s v="RIDE1760"/>
        <s v="RIDE1761"/>
        <s v="RIDE1762"/>
        <s v="RIDE1763"/>
        <s v="RIDE1764"/>
        <s v="RIDE1765"/>
        <s v="RIDE1766"/>
        <s v="RIDE1767"/>
        <s v="RIDE1768"/>
        <s v="RIDE1769"/>
        <s v="RIDE1770"/>
        <s v="RIDE1771"/>
        <s v="RIDE1772"/>
        <s v="RIDE1773"/>
        <s v="RIDE1774"/>
        <s v="RIDE1775"/>
        <s v="RIDE1776"/>
        <s v="RIDE1777"/>
        <s v="RIDE1778"/>
        <s v="RIDE1779"/>
        <s v="RIDE1780"/>
        <s v="RIDE1781"/>
        <s v="RIDE1782"/>
        <s v="RIDE1783"/>
        <s v="RIDE1784"/>
        <s v="RIDE1785"/>
        <s v="RIDE1786"/>
        <s v="RIDE1787"/>
        <s v="RIDE1788"/>
        <s v="RIDE1789"/>
        <s v="RIDE1790"/>
        <s v="RIDE1791"/>
        <s v="RIDE1792"/>
        <s v="RIDE1793"/>
        <s v="RIDE1794"/>
        <s v="RIDE1795"/>
        <s v="RIDE1796"/>
        <s v="RIDE1797"/>
        <s v="RIDE1798"/>
        <s v="RIDE1799"/>
        <s v="RIDE1800"/>
        <s v="RIDE1801"/>
        <s v="RIDE1802"/>
        <s v="RIDE1803"/>
        <s v="RIDE1804"/>
        <s v="RIDE1805"/>
        <s v="RIDE1806"/>
        <s v="RIDE1807"/>
        <s v="RIDE1808"/>
        <s v="RIDE1809"/>
        <s v="RIDE1810"/>
        <s v="RIDE1811"/>
        <s v="RIDE1812"/>
        <s v="RIDE1813"/>
        <s v="RIDE1814"/>
        <s v="RIDE1815"/>
        <s v="RIDE1816"/>
        <s v="RIDE1817"/>
        <s v="RIDE1818"/>
        <s v="RIDE1819"/>
        <s v="RIDE1820"/>
        <s v="RIDE1821"/>
        <s v="RIDE1822"/>
        <s v="RIDE1823"/>
        <s v="RIDE1824"/>
        <s v="RIDE1825"/>
        <s v="RIDE1826"/>
        <s v="RIDE1827"/>
        <s v="RIDE1828"/>
        <s v="RIDE1829"/>
        <s v="RIDE1830"/>
        <s v="RIDE1831"/>
        <s v="RIDE1832"/>
        <s v="RIDE1833"/>
        <s v="RIDE1834"/>
        <s v="RIDE1835"/>
        <s v="RIDE1836"/>
        <s v="RIDE1837"/>
        <s v="RIDE1838"/>
        <s v="RIDE1839"/>
        <s v="RIDE1840"/>
        <s v="RIDE1841"/>
        <s v="RIDE1842"/>
        <s v="RIDE1843"/>
        <s v="RIDE1844"/>
        <s v="RIDE1845"/>
        <s v="RIDE1846"/>
        <s v="RIDE1847"/>
        <s v="RIDE1848"/>
        <s v="RIDE1849"/>
        <s v="RIDE1850"/>
        <s v="RIDE1851"/>
        <s v="RIDE1852"/>
        <s v="RIDE1853"/>
        <s v="RIDE1854"/>
        <s v="RIDE1855"/>
        <s v="RIDE1856"/>
        <s v="RIDE1857"/>
        <s v="RIDE1858"/>
        <s v="RIDE1859"/>
        <s v="RIDE1860"/>
        <s v="RIDE1861"/>
        <s v="RIDE1862"/>
        <s v="RIDE1863"/>
        <s v="RIDE1864"/>
        <s v="RIDE1865"/>
        <s v="RIDE1866"/>
        <s v="RIDE1867"/>
        <s v="RIDE1868"/>
        <s v="RIDE1869"/>
        <s v="RIDE1870"/>
        <s v="RIDE1871"/>
        <s v="RIDE1872"/>
        <s v="RIDE1873"/>
        <s v="RIDE1874"/>
        <s v="RIDE1875"/>
        <s v="RIDE1876"/>
        <s v="RIDE1877"/>
        <s v="RIDE1878"/>
        <s v="RIDE1879"/>
        <s v="RIDE1880"/>
        <s v="RIDE1881"/>
        <s v="RIDE1882"/>
        <s v="RIDE1883"/>
        <s v="RIDE1884"/>
        <s v="RIDE1885"/>
        <s v="RIDE1886"/>
        <s v="RIDE1887"/>
        <s v="RIDE1888"/>
        <s v="RIDE1889"/>
        <s v="RIDE1890"/>
        <s v="RIDE1891"/>
        <s v="RIDE1892"/>
        <s v="RIDE1893"/>
        <s v="RIDE1894"/>
        <s v="RIDE1895"/>
        <s v="RIDE1896"/>
        <s v="RIDE1897"/>
        <s v="RIDE1898"/>
        <s v="RIDE1899"/>
        <s v="RIDE1900"/>
        <s v="RIDE1901"/>
        <s v="RIDE1902"/>
        <s v="RIDE1903"/>
        <s v="RIDE1904"/>
        <s v="RIDE1905"/>
        <s v="RIDE1906"/>
        <s v="RIDE1907"/>
        <s v="RIDE1908"/>
        <s v="RIDE1909"/>
        <s v="RIDE1910"/>
        <s v="RIDE1911"/>
        <s v="RIDE1912"/>
        <s v="RIDE1913"/>
        <s v="RIDE1914"/>
        <s v="RIDE1915"/>
        <s v="RIDE1916"/>
        <s v="RIDE1917"/>
        <s v="RIDE1918"/>
        <s v="RIDE1919"/>
        <s v="RIDE1920"/>
        <s v="RIDE1921"/>
        <s v="RIDE1922"/>
        <s v="RIDE1923"/>
        <s v="RIDE1924"/>
        <s v="RIDE1925"/>
        <s v="RIDE1926"/>
        <s v="RIDE1927"/>
        <s v="RIDE1928"/>
        <s v="RIDE1929"/>
        <s v="RIDE1930"/>
        <s v="RIDE1931"/>
        <s v="RIDE1932"/>
        <s v="RIDE1933"/>
        <s v="RIDE1934"/>
        <s v="RIDE1935"/>
        <s v="RIDE1936"/>
        <s v="RIDE1937"/>
        <s v="RIDE1938"/>
        <s v="RIDE1939"/>
        <s v="RIDE1940"/>
        <s v="RIDE1941"/>
        <s v="RIDE1942"/>
        <s v="RIDE1943"/>
        <s v="RIDE1944"/>
        <s v="RIDE1945"/>
        <s v="RIDE1946"/>
        <s v="RIDE1947"/>
        <s v="RIDE1948"/>
        <s v="RIDE1949"/>
        <s v="RIDE1950"/>
        <s v="RIDE1951"/>
        <s v="RIDE1952"/>
        <s v="RIDE1953"/>
        <s v="RIDE1954"/>
        <s v="RIDE1955"/>
        <s v="RIDE1956"/>
        <s v="RIDE1957"/>
        <s v="RIDE1958"/>
        <s v="RIDE1959"/>
        <s v="RIDE1960"/>
        <s v="RIDE1961"/>
        <s v="RIDE1962"/>
        <s v="RIDE1963"/>
        <s v="RIDE1964"/>
        <s v="RIDE1965"/>
        <s v="RIDE1966"/>
        <s v="RIDE1967"/>
        <s v="RIDE1968"/>
        <s v="RIDE1969"/>
        <s v="RIDE1970"/>
        <s v="RIDE1971"/>
        <s v="RIDE1972"/>
        <s v="RIDE1973"/>
        <s v="RIDE1974"/>
        <s v="RIDE1975"/>
        <s v="RIDE1976"/>
        <s v="RIDE1977"/>
        <s v="RIDE1978"/>
        <s v="RIDE1979"/>
        <s v="RIDE1980"/>
        <s v="RIDE1981"/>
        <s v="RIDE1982"/>
        <s v="RIDE1983"/>
        <s v="RIDE1984"/>
        <s v="RIDE1985"/>
        <s v="RIDE1986"/>
        <s v="RIDE1987"/>
        <s v="RIDE1988"/>
        <s v="RIDE1989"/>
        <s v="RIDE1990"/>
        <s v="RIDE1991"/>
        <s v="RIDE1992"/>
        <s v="RIDE1993"/>
        <s v="RIDE1994"/>
        <s v="RIDE1995"/>
        <s v="RIDE1996"/>
        <s v="RIDE1997"/>
        <s v="RIDE1998"/>
        <s v="RIDE1999"/>
        <s v="RIDE2000"/>
      </sharedItems>
    </cacheField>
    <cacheField name="timestamp" numFmtId="22">
      <sharedItems containsSemiMixedTypes="0" containsNonDate="0" containsDate="1" containsString="0" minDate="2026-05-27T11:25:00" maxDate="2026-05-27T12:30:00"/>
    </cacheField>
    <cacheField name="pickup_location" numFmtId="0">
      <sharedItems count="4">
        <s v="Mumbai_Andheri"/>
        <s v="Mumbai_Bandra"/>
        <s v="Mumbai_Colaba"/>
        <s v="Mumbai_Thane"/>
      </sharedItems>
    </cacheField>
    <cacheField name="fare_amount" numFmtId="0">
      <sharedItems containsSemiMixedTypes="0" containsString="0" containsNumber="1" minValue="0.0" maxValue="4685.32"/>
    </cacheField>
    <cacheField name="driver_rating" numFmtId="0">
      <sharedItems containsString="0" containsBlank="1" containsNumber="1" minValue="2.3" maxValue="5.0"/>
    </cacheField>
    <cacheField name="ride_status" numFmtId="0">
      <sharedItems count="3">
        <s v="COMPLETED"/>
        <s v="CANCELLED"/>
        <s v="NO_DRIVER_AVAILABLE"/>
      </sharedItems>
    </cacheField>
    <cacheField name="time_slot" numFmtId="0">
      <sharedItems count="14">
        <s v="11:25"/>
        <s v="11:30"/>
        <s v="11:35"/>
        <s v="11:40"/>
        <s v="11:45"/>
        <s v="11:50"/>
        <s v="11:55"/>
        <s v="12:00"/>
        <s v="12:05"/>
        <s v="12:10"/>
        <s v="12:15"/>
        <s v="12:20"/>
        <s v="12:25"/>
        <s v="12:3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d v="2026-05-27T11:25:00"/>
    <x v="3"/>
    <n v="501.83"/>
    <n v="3.47"/>
    <x v="0"/>
    <x v="0"/>
  </r>
  <r>
    <x v="1"/>
    <d v="2026-05-27T11:25:00"/>
    <x v="2"/>
    <n v="1770.4"/>
    <m/>
    <x v="0"/>
    <x v="0"/>
  </r>
  <r>
    <x v="2"/>
    <d v="2026-05-27T11:25:00"/>
    <x v="2"/>
    <n v="1726.32"/>
    <n v="3.87"/>
    <x v="0"/>
    <x v="0"/>
  </r>
  <r>
    <x v="3"/>
    <d v="2026-05-27T11:25:00"/>
    <x v="2"/>
    <n v="0.0"/>
    <n v="3.99"/>
    <x v="1"/>
    <x v="0"/>
  </r>
  <r>
    <x v="4"/>
    <d v="2026-05-27T11:25:00"/>
    <x v="3"/>
    <n v="0.0"/>
    <n v="4.07"/>
    <x v="2"/>
    <x v="0"/>
  </r>
  <r>
    <x v="5"/>
    <d v="2026-05-27T11:25:00"/>
    <x v="1"/>
    <n v="0.0"/>
    <n v="3.91"/>
    <x v="1"/>
    <x v="0"/>
  </r>
  <r>
    <x v="6"/>
    <d v="2026-05-27T11:25:00"/>
    <x v="0"/>
    <n v="2542.08"/>
    <m/>
    <x v="0"/>
    <x v="0"/>
  </r>
  <r>
    <x v="7"/>
    <d v="2026-05-27T11:25:00"/>
    <x v="2"/>
    <n v="0.0"/>
    <n v="3.48"/>
    <x v="2"/>
    <x v="0"/>
  </r>
  <r>
    <x v="8"/>
    <d v="2026-05-27T11:25:00"/>
    <x v="0"/>
    <n v="0.0"/>
    <n v="4.68"/>
    <x v="1"/>
    <x v="0"/>
  </r>
  <r>
    <x v="9"/>
    <d v="2026-05-27T11:25:00"/>
    <x v="2"/>
    <n v="2491.49"/>
    <n v="3.52"/>
    <x v="0"/>
    <x v="0"/>
  </r>
  <r>
    <x v="10"/>
    <d v="2026-05-27T11:25:00"/>
    <x v="0"/>
    <n v="1903.22"/>
    <n v="4.33"/>
    <x v="0"/>
    <x v="0"/>
  </r>
  <r>
    <x v="11"/>
    <d v="2026-05-27T11:25:00"/>
    <x v="2"/>
    <n v="2249.77"/>
    <n v="3.71"/>
    <x v="0"/>
    <x v="0"/>
  </r>
  <r>
    <x v="12"/>
    <d v="2026-05-27T11:25:00"/>
    <x v="2"/>
    <n v="0.0"/>
    <n v="3.03"/>
    <x v="1"/>
    <x v="0"/>
  </r>
  <r>
    <x v="13"/>
    <d v="2026-05-27T11:25:00"/>
    <x v="0"/>
    <n v="2055.68"/>
    <n v="4.08"/>
    <x v="0"/>
    <x v="0"/>
  </r>
  <r>
    <x v="14"/>
    <d v="2026-05-27T11:25:00"/>
    <x v="2"/>
    <n v="0.0"/>
    <n v="4.13"/>
    <x v="1"/>
    <x v="0"/>
  </r>
  <r>
    <x v="15"/>
    <d v="2026-05-27T11:25:00"/>
    <x v="0"/>
    <n v="1573.52"/>
    <n v="4.43"/>
    <x v="0"/>
    <x v="0"/>
  </r>
  <r>
    <x v="16"/>
    <d v="2026-05-27T11:25:00"/>
    <x v="0"/>
    <n v="1014.65"/>
    <m/>
    <x v="0"/>
    <x v="0"/>
  </r>
  <r>
    <x v="17"/>
    <d v="2026-05-27T11:25:00"/>
    <x v="3"/>
    <n v="1252.48"/>
    <n v="3.5"/>
    <x v="0"/>
    <x v="0"/>
  </r>
  <r>
    <x v="18"/>
    <d v="2026-05-27T11:25:00"/>
    <x v="2"/>
    <n v="1164.56"/>
    <n v="3.48"/>
    <x v="0"/>
    <x v="0"/>
  </r>
  <r>
    <x v="19"/>
    <d v="2026-05-27T11:25:00"/>
    <x v="0"/>
    <n v="0.0"/>
    <n v="4.49"/>
    <x v="2"/>
    <x v="0"/>
  </r>
  <r>
    <x v="20"/>
    <d v="2026-05-27T11:25:00"/>
    <x v="3"/>
    <n v="1029.07"/>
    <n v="5.0"/>
    <x v="0"/>
    <x v="0"/>
  </r>
  <r>
    <x v="21"/>
    <d v="2026-05-27T11:25:00"/>
    <x v="0"/>
    <n v="589.86"/>
    <n v="4.16"/>
    <x v="0"/>
    <x v="0"/>
  </r>
  <r>
    <x v="22"/>
    <d v="2026-05-27T11:25:00"/>
    <x v="1"/>
    <n v="1098.01"/>
    <n v="3.19"/>
    <x v="0"/>
    <x v="0"/>
  </r>
  <r>
    <x v="23"/>
    <d v="2026-05-27T11:25:00"/>
    <x v="0"/>
    <n v="1463.23"/>
    <n v="3.86"/>
    <x v="0"/>
    <x v="0"/>
  </r>
  <r>
    <x v="24"/>
    <d v="2026-05-27T11:25:00"/>
    <x v="1"/>
    <n v="1501.97"/>
    <n v="4.08"/>
    <x v="0"/>
    <x v="0"/>
  </r>
  <r>
    <x v="25"/>
    <d v="2026-05-27T11:25:00"/>
    <x v="3"/>
    <n v="0.0"/>
    <m/>
    <x v="1"/>
    <x v="0"/>
  </r>
  <r>
    <x v="26"/>
    <d v="2026-05-27T11:25:00"/>
    <x v="1"/>
    <n v="0.0"/>
    <n v="4.35"/>
    <x v="1"/>
    <x v="0"/>
  </r>
  <r>
    <x v="27"/>
    <d v="2026-05-27T11:25:00"/>
    <x v="2"/>
    <n v="1140.09"/>
    <n v="4.68"/>
    <x v="0"/>
    <x v="0"/>
  </r>
  <r>
    <x v="28"/>
    <d v="2026-05-27T11:25:00"/>
    <x v="0"/>
    <n v="0.0"/>
    <n v="4.22"/>
    <x v="2"/>
    <x v="0"/>
  </r>
  <r>
    <x v="29"/>
    <d v="2026-05-27T11:25:00"/>
    <x v="2"/>
    <n v="3343.97"/>
    <m/>
    <x v="0"/>
    <x v="0"/>
  </r>
  <r>
    <x v="30"/>
    <d v="2026-05-27T11:25:00"/>
    <x v="1"/>
    <n v="1109.11"/>
    <n v="4.93"/>
    <x v="0"/>
    <x v="0"/>
  </r>
  <r>
    <x v="31"/>
    <d v="2026-05-27T11:25:00"/>
    <x v="3"/>
    <n v="2854.51"/>
    <n v="3.75"/>
    <x v="0"/>
    <x v="0"/>
  </r>
  <r>
    <x v="32"/>
    <d v="2026-05-27T11:25:00"/>
    <x v="3"/>
    <n v="913.14"/>
    <n v="3.4"/>
    <x v="0"/>
    <x v="0"/>
  </r>
  <r>
    <x v="33"/>
    <d v="2026-05-27T11:25:00"/>
    <x v="3"/>
    <n v="1601.65"/>
    <n v="3.26"/>
    <x v="0"/>
    <x v="0"/>
  </r>
  <r>
    <x v="34"/>
    <d v="2026-05-27T11:25:00"/>
    <x v="3"/>
    <n v="2698.64"/>
    <n v="4.22"/>
    <x v="0"/>
    <x v="0"/>
  </r>
  <r>
    <x v="35"/>
    <d v="2026-05-27T11:25:00"/>
    <x v="3"/>
    <n v="1865.49"/>
    <n v="4.1"/>
    <x v="0"/>
    <x v="0"/>
  </r>
  <r>
    <x v="36"/>
    <d v="2026-05-27T11:25:00"/>
    <x v="1"/>
    <n v="2628.19"/>
    <n v="4.31"/>
    <x v="0"/>
    <x v="0"/>
  </r>
  <r>
    <x v="37"/>
    <d v="2026-05-27T11:25:00"/>
    <x v="3"/>
    <n v="0.0"/>
    <n v="4.41"/>
    <x v="1"/>
    <x v="0"/>
  </r>
  <r>
    <x v="38"/>
    <d v="2026-05-27T11:25:00"/>
    <x v="1"/>
    <n v="2043.94"/>
    <m/>
    <x v="0"/>
    <x v="0"/>
  </r>
  <r>
    <x v="39"/>
    <d v="2026-05-27T11:25:00"/>
    <x v="1"/>
    <n v="1414.98"/>
    <n v="4.05"/>
    <x v="0"/>
    <x v="0"/>
  </r>
  <r>
    <x v="40"/>
    <d v="2026-05-27T11:25:00"/>
    <x v="3"/>
    <n v="1332.34"/>
    <n v="4.54"/>
    <x v="0"/>
    <x v="0"/>
  </r>
  <r>
    <x v="41"/>
    <d v="2026-05-27T11:25:00"/>
    <x v="0"/>
    <n v="0.0"/>
    <n v="5.0"/>
    <x v="2"/>
    <x v="0"/>
  </r>
  <r>
    <x v="42"/>
    <d v="2026-05-27T11:25:00"/>
    <x v="2"/>
    <n v="1117.38"/>
    <n v="4.7"/>
    <x v="0"/>
    <x v="0"/>
  </r>
  <r>
    <x v="43"/>
    <d v="2026-05-27T11:25:00"/>
    <x v="0"/>
    <n v="671.83"/>
    <n v="4.66"/>
    <x v="0"/>
    <x v="0"/>
  </r>
  <r>
    <x v="44"/>
    <d v="2026-05-27T11:25:00"/>
    <x v="0"/>
    <n v="0.0"/>
    <n v="4.13"/>
    <x v="1"/>
    <x v="0"/>
  </r>
  <r>
    <x v="45"/>
    <d v="2026-05-27T11:25:00"/>
    <x v="0"/>
    <n v="2062.39"/>
    <n v="4.29"/>
    <x v="0"/>
    <x v="0"/>
  </r>
  <r>
    <x v="46"/>
    <d v="2026-05-27T11:25:00"/>
    <x v="0"/>
    <n v="1827.31"/>
    <n v="4.84"/>
    <x v="0"/>
    <x v="0"/>
  </r>
  <r>
    <x v="47"/>
    <d v="2026-05-27T11:25:00"/>
    <x v="0"/>
    <n v="380.1"/>
    <n v="4.14"/>
    <x v="0"/>
    <x v="0"/>
  </r>
  <r>
    <x v="48"/>
    <d v="2026-05-27T11:25:00"/>
    <x v="3"/>
    <n v="706.2"/>
    <n v="4.48"/>
    <x v="0"/>
    <x v="0"/>
  </r>
  <r>
    <x v="49"/>
    <d v="2026-05-27T11:25:00"/>
    <x v="1"/>
    <n v="0.0"/>
    <m/>
    <x v="1"/>
    <x v="0"/>
  </r>
  <r>
    <x v="50"/>
    <d v="2026-05-27T11:25:00"/>
    <x v="0"/>
    <n v="1591.85"/>
    <m/>
    <x v="0"/>
    <x v="0"/>
  </r>
  <r>
    <x v="51"/>
    <d v="2026-05-27T11:25:00"/>
    <x v="1"/>
    <n v="1592.65"/>
    <n v="3.88"/>
    <x v="0"/>
    <x v="0"/>
  </r>
  <r>
    <x v="52"/>
    <d v="2026-05-27T11:25:00"/>
    <x v="2"/>
    <n v="1991.74"/>
    <n v="3.43"/>
    <x v="0"/>
    <x v="0"/>
  </r>
  <r>
    <x v="53"/>
    <d v="2026-05-27T11:25:00"/>
    <x v="1"/>
    <n v="2052.2"/>
    <n v="4.24"/>
    <x v="0"/>
    <x v="0"/>
  </r>
  <r>
    <x v="54"/>
    <d v="2026-05-27T11:25:00"/>
    <x v="3"/>
    <n v="745.27"/>
    <m/>
    <x v="0"/>
    <x v="0"/>
  </r>
  <r>
    <x v="55"/>
    <d v="2026-05-27T11:25:00"/>
    <x v="0"/>
    <n v="1705.64"/>
    <n v="3.2"/>
    <x v="0"/>
    <x v="0"/>
  </r>
  <r>
    <x v="56"/>
    <d v="2026-05-27T11:25:00"/>
    <x v="3"/>
    <n v="637.26"/>
    <m/>
    <x v="0"/>
    <x v="0"/>
  </r>
  <r>
    <x v="57"/>
    <d v="2026-05-27T11:25:00"/>
    <x v="2"/>
    <n v="2047.33"/>
    <n v="3.42"/>
    <x v="0"/>
    <x v="0"/>
  </r>
  <r>
    <x v="58"/>
    <d v="2026-05-27T11:25:00"/>
    <x v="3"/>
    <n v="2680.89"/>
    <m/>
    <x v="0"/>
    <x v="0"/>
  </r>
  <r>
    <x v="59"/>
    <d v="2026-05-27T11:25:00"/>
    <x v="3"/>
    <n v="902.91"/>
    <n v="4.0"/>
    <x v="0"/>
    <x v="0"/>
  </r>
  <r>
    <x v="60"/>
    <d v="2026-05-27T11:25:00"/>
    <x v="2"/>
    <n v="1399.51"/>
    <n v="2.56"/>
    <x v="0"/>
    <x v="0"/>
  </r>
  <r>
    <x v="61"/>
    <d v="2026-05-27T11:25:00"/>
    <x v="2"/>
    <n v="1603.44"/>
    <n v="4.46"/>
    <x v="0"/>
    <x v="0"/>
  </r>
  <r>
    <x v="62"/>
    <d v="2026-05-27T11:25:00"/>
    <x v="0"/>
    <n v="1540.3"/>
    <n v="4.77"/>
    <x v="0"/>
    <x v="0"/>
  </r>
  <r>
    <x v="63"/>
    <d v="2026-05-27T11:25:00"/>
    <x v="2"/>
    <n v="778.69"/>
    <n v="4.44"/>
    <x v="0"/>
    <x v="0"/>
  </r>
  <r>
    <x v="64"/>
    <d v="2026-05-27T11:25:00"/>
    <x v="2"/>
    <n v="0.0"/>
    <n v="3.82"/>
    <x v="1"/>
    <x v="0"/>
  </r>
  <r>
    <x v="65"/>
    <d v="2026-05-27T11:25:00"/>
    <x v="1"/>
    <n v="1055.45"/>
    <n v="3.93"/>
    <x v="0"/>
    <x v="0"/>
  </r>
  <r>
    <x v="66"/>
    <d v="2026-05-27T11:25:00"/>
    <x v="0"/>
    <n v="0.0"/>
    <n v="4.15"/>
    <x v="2"/>
    <x v="0"/>
  </r>
  <r>
    <x v="67"/>
    <d v="2026-05-27T11:25:00"/>
    <x v="0"/>
    <n v="0.0"/>
    <n v="4.17"/>
    <x v="1"/>
    <x v="0"/>
  </r>
  <r>
    <x v="68"/>
    <d v="2026-05-27T11:25:00"/>
    <x v="2"/>
    <n v="1223.06"/>
    <n v="4.38"/>
    <x v="0"/>
    <x v="0"/>
  </r>
  <r>
    <x v="69"/>
    <d v="2026-05-27T11:25:00"/>
    <x v="2"/>
    <n v="0.0"/>
    <n v="3.58"/>
    <x v="1"/>
    <x v="0"/>
  </r>
  <r>
    <x v="70"/>
    <d v="2026-05-27T11:25:00"/>
    <x v="3"/>
    <n v="2936.39"/>
    <n v="4.07"/>
    <x v="0"/>
    <x v="0"/>
  </r>
  <r>
    <x v="71"/>
    <d v="2026-05-27T11:25:00"/>
    <x v="1"/>
    <n v="2547.4"/>
    <n v="3.53"/>
    <x v="0"/>
    <x v="0"/>
  </r>
  <r>
    <x v="72"/>
    <d v="2026-05-27T11:25:00"/>
    <x v="0"/>
    <n v="1425.63"/>
    <n v="4.38"/>
    <x v="0"/>
    <x v="0"/>
  </r>
  <r>
    <x v="73"/>
    <d v="2026-05-27T11:25:00"/>
    <x v="1"/>
    <n v="1314.88"/>
    <n v="3.89"/>
    <x v="0"/>
    <x v="0"/>
  </r>
  <r>
    <x v="74"/>
    <d v="2026-05-27T11:25:00"/>
    <x v="2"/>
    <n v="0.0"/>
    <n v="4.68"/>
    <x v="1"/>
    <x v="0"/>
  </r>
  <r>
    <x v="75"/>
    <d v="2026-05-27T11:25:00"/>
    <x v="3"/>
    <n v="0.0"/>
    <n v="4.06"/>
    <x v="1"/>
    <x v="0"/>
  </r>
  <r>
    <x v="76"/>
    <d v="2026-05-27T11:25:00"/>
    <x v="3"/>
    <n v="0.0"/>
    <n v="3.93"/>
    <x v="1"/>
    <x v="0"/>
  </r>
  <r>
    <x v="77"/>
    <d v="2026-05-27T11:25:00"/>
    <x v="2"/>
    <n v="0.0"/>
    <n v="4.97"/>
    <x v="1"/>
    <x v="0"/>
  </r>
  <r>
    <x v="78"/>
    <d v="2026-05-27T11:25:00"/>
    <x v="0"/>
    <n v="0.0"/>
    <n v="3.85"/>
    <x v="1"/>
    <x v="0"/>
  </r>
  <r>
    <x v="79"/>
    <d v="2026-05-27T11:25:00"/>
    <x v="2"/>
    <n v="1135.0"/>
    <n v="3.75"/>
    <x v="0"/>
    <x v="0"/>
  </r>
  <r>
    <x v="80"/>
    <d v="2026-05-27T11:25:00"/>
    <x v="2"/>
    <n v="1999.87"/>
    <n v="3.83"/>
    <x v="0"/>
    <x v="0"/>
  </r>
  <r>
    <x v="81"/>
    <d v="2026-05-27T11:25:00"/>
    <x v="0"/>
    <n v="965.8"/>
    <n v="3.4"/>
    <x v="0"/>
    <x v="0"/>
  </r>
  <r>
    <x v="82"/>
    <d v="2026-05-27T11:25:00"/>
    <x v="3"/>
    <n v="0.0"/>
    <n v="4.43"/>
    <x v="1"/>
    <x v="0"/>
  </r>
  <r>
    <x v="83"/>
    <d v="2026-05-27T11:25:00"/>
    <x v="0"/>
    <n v="2032.43"/>
    <n v="4.52"/>
    <x v="0"/>
    <x v="0"/>
  </r>
  <r>
    <x v="84"/>
    <d v="2026-05-27T11:25:00"/>
    <x v="1"/>
    <n v="964.63"/>
    <n v="4.04"/>
    <x v="0"/>
    <x v="0"/>
  </r>
  <r>
    <x v="85"/>
    <d v="2026-05-27T11:25:00"/>
    <x v="0"/>
    <n v="0.0"/>
    <n v="4.77"/>
    <x v="2"/>
    <x v="0"/>
  </r>
  <r>
    <x v="86"/>
    <d v="2026-05-27T11:25:00"/>
    <x v="2"/>
    <n v="1428.83"/>
    <n v="4.2"/>
    <x v="0"/>
    <x v="0"/>
  </r>
  <r>
    <x v="87"/>
    <d v="2026-05-27T11:25:00"/>
    <x v="1"/>
    <n v="1705.28"/>
    <m/>
    <x v="0"/>
    <x v="0"/>
  </r>
  <r>
    <x v="88"/>
    <d v="2026-05-27T11:25:00"/>
    <x v="1"/>
    <n v="3021.49"/>
    <n v="2.96"/>
    <x v="0"/>
    <x v="0"/>
  </r>
  <r>
    <x v="89"/>
    <d v="2026-05-27T11:30:00"/>
    <x v="0"/>
    <n v="0.0"/>
    <m/>
    <x v="1"/>
    <x v="1"/>
  </r>
  <r>
    <x v="90"/>
    <d v="2026-05-27T11:30:00"/>
    <x v="1"/>
    <n v="0.0"/>
    <m/>
    <x v="2"/>
    <x v="1"/>
  </r>
  <r>
    <x v="91"/>
    <d v="2026-05-27T11:30:00"/>
    <x v="3"/>
    <n v="2614.81"/>
    <n v="3.45"/>
    <x v="0"/>
    <x v="1"/>
  </r>
  <r>
    <x v="92"/>
    <d v="2026-05-27T11:30:00"/>
    <x v="2"/>
    <n v="1123.72"/>
    <n v="3.46"/>
    <x v="0"/>
    <x v="1"/>
  </r>
  <r>
    <x v="93"/>
    <d v="2026-05-27T11:30:00"/>
    <x v="0"/>
    <n v="1239.5"/>
    <n v="4.95"/>
    <x v="0"/>
    <x v="1"/>
  </r>
  <r>
    <x v="94"/>
    <d v="2026-05-27T11:30:00"/>
    <x v="1"/>
    <n v="1075.89"/>
    <m/>
    <x v="0"/>
    <x v="1"/>
  </r>
  <r>
    <x v="95"/>
    <d v="2026-05-27T11:30:00"/>
    <x v="0"/>
    <n v="1597.7"/>
    <n v="3.96"/>
    <x v="0"/>
    <x v="1"/>
  </r>
  <r>
    <x v="96"/>
    <d v="2026-05-27T11:30:00"/>
    <x v="2"/>
    <n v="0.0"/>
    <n v="3.61"/>
    <x v="1"/>
    <x v="1"/>
  </r>
  <r>
    <x v="97"/>
    <d v="2026-05-27T11:30:00"/>
    <x v="2"/>
    <n v="2398.52"/>
    <m/>
    <x v="0"/>
    <x v="1"/>
  </r>
  <r>
    <x v="98"/>
    <d v="2026-05-27T11:30:00"/>
    <x v="1"/>
    <n v="1713.39"/>
    <n v="4.09"/>
    <x v="0"/>
    <x v="1"/>
  </r>
  <r>
    <x v="99"/>
    <d v="2026-05-27T11:30:00"/>
    <x v="0"/>
    <n v="760.35"/>
    <n v="4.26"/>
    <x v="0"/>
    <x v="1"/>
  </r>
  <r>
    <x v="100"/>
    <d v="2026-05-27T11:30:00"/>
    <x v="2"/>
    <n v="0.0"/>
    <n v="4.76"/>
    <x v="1"/>
    <x v="1"/>
  </r>
  <r>
    <x v="101"/>
    <d v="2026-05-27T11:30:00"/>
    <x v="3"/>
    <n v="778.49"/>
    <n v="4.25"/>
    <x v="0"/>
    <x v="1"/>
  </r>
  <r>
    <x v="102"/>
    <d v="2026-05-27T11:30:00"/>
    <x v="3"/>
    <n v="0.0"/>
    <n v="4.27"/>
    <x v="1"/>
    <x v="1"/>
  </r>
  <r>
    <x v="103"/>
    <d v="2026-05-27T11:30:00"/>
    <x v="0"/>
    <n v="0.0"/>
    <n v="4.74"/>
    <x v="1"/>
    <x v="1"/>
  </r>
  <r>
    <x v="104"/>
    <d v="2026-05-27T11:30:00"/>
    <x v="1"/>
    <n v="967.06"/>
    <n v="3.85"/>
    <x v="0"/>
    <x v="1"/>
  </r>
  <r>
    <x v="105"/>
    <d v="2026-05-27T11:30:00"/>
    <x v="1"/>
    <n v="1910.82"/>
    <n v="4.4"/>
    <x v="0"/>
    <x v="1"/>
  </r>
  <r>
    <x v="106"/>
    <d v="2026-05-27T11:30:00"/>
    <x v="1"/>
    <n v="2868.35"/>
    <n v="4.35"/>
    <x v="0"/>
    <x v="1"/>
  </r>
  <r>
    <x v="107"/>
    <d v="2026-05-27T11:30:00"/>
    <x v="1"/>
    <n v="888.45"/>
    <n v="4.01"/>
    <x v="0"/>
    <x v="1"/>
  </r>
  <r>
    <x v="108"/>
    <d v="2026-05-27T11:30:00"/>
    <x v="2"/>
    <n v="1017.42"/>
    <n v="3.77"/>
    <x v="0"/>
    <x v="1"/>
  </r>
  <r>
    <x v="109"/>
    <d v="2026-05-27T11:30:00"/>
    <x v="0"/>
    <n v="594.95"/>
    <n v="3.68"/>
    <x v="0"/>
    <x v="1"/>
  </r>
  <r>
    <x v="110"/>
    <d v="2026-05-27T11:30:00"/>
    <x v="3"/>
    <n v="1905.51"/>
    <n v="4.34"/>
    <x v="0"/>
    <x v="1"/>
  </r>
  <r>
    <x v="111"/>
    <d v="2026-05-27T11:30:00"/>
    <x v="2"/>
    <n v="919.85"/>
    <n v="3.28"/>
    <x v="0"/>
    <x v="1"/>
  </r>
  <r>
    <x v="112"/>
    <d v="2026-05-27T11:30:00"/>
    <x v="2"/>
    <n v="1371.82"/>
    <n v="4.47"/>
    <x v="0"/>
    <x v="1"/>
  </r>
  <r>
    <x v="113"/>
    <d v="2026-05-27T11:30:00"/>
    <x v="1"/>
    <n v="1600.84"/>
    <n v="2.74"/>
    <x v="0"/>
    <x v="1"/>
  </r>
  <r>
    <x v="114"/>
    <d v="2026-05-27T11:30:00"/>
    <x v="2"/>
    <n v="0.0"/>
    <n v="4.65"/>
    <x v="1"/>
    <x v="1"/>
  </r>
  <r>
    <x v="115"/>
    <d v="2026-05-27T11:30:00"/>
    <x v="1"/>
    <n v="1514.62"/>
    <n v="4.69"/>
    <x v="0"/>
    <x v="1"/>
  </r>
  <r>
    <x v="116"/>
    <d v="2026-05-27T11:30:00"/>
    <x v="3"/>
    <n v="0.0"/>
    <m/>
    <x v="1"/>
    <x v="1"/>
  </r>
  <r>
    <x v="117"/>
    <d v="2026-05-27T11:30:00"/>
    <x v="1"/>
    <n v="2820.24"/>
    <n v="4.25"/>
    <x v="0"/>
    <x v="1"/>
  </r>
  <r>
    <x v="118"/>
    <d v="2026-05-27T11:30:00"/>
    <x v="1"/>
    <n v="0.0"/>
    <n v="4.6"/>
    <x v="1"/>
    <x v="1"/>
  </r>
  <r>
    <x v="119"/>
    <d v="2026-05-27T11:30:00"/>
    <x v="0"/>
    <n v="1194.67"/>
    <n v="3.98"/>
    <x v="0"/>
    <x v="1"/>
  </r>
  <r>
    <x v="120"/>
    <d v="2026-05-27T11:30:00"/>
    <x v="2"/>
    <n v="2732.13"/>
    <n v="4.43"/>
    <x v="0"/>
    <x v="1"/>
  </r>
  <r>
    <x v="121"/>
    <d v="2026-05-27T11:30:00"/>
    <x v="1"/>
    <n v="1547.53"/>
    <n v="3.26"/>
    <x v="0"/>
    <x v="1"/>
  </r>
  <r>
    <x v="122"/>
    <d v="2026-05-27T11:30:00"/>
    <x v="0"/>
    <n v="965.83"/>
    <n v="4.31"/>
    <x v="0"/>
    <x v="1"/>
  </r>
  <r>
    <x v="123"/>
    <d v="2026-05-27T11:30:00"/>
    <x v="1"/>
    <n v="2358.45"/>
    <n v="4.15"/>
    <x v="0"/>
    <x v="1"/>
  </r>
  <r>
    <x v="124"/>
    <d v="2026-05-27T11:30:00"/>
    <x v="3"/>
    <n v="1699.65"/>
    <m/>
    <x v="0"/>
    <x v="1"/>
  </r>
  <r>
    <x v="125"/>
    <d v="2026-05-27T11:30:00"/>
    <x v="0"/>
    <n v="1281.34"/>
    <n v="3.85"/>
    <x v="0"/>
    <x v="1"/>
  </r>
  <r>
    <x v="126"/>
    <d v="2026-05-27T11:30:00"/>
    <x v="0"/>
    <n v="2973.31"/>
    <n v="4.8"/>
    <x v="0"/>
    <x v="1"/>
  </r>
  <r>
    <x v="127"/>
    <d v="2026-05-27T11:30:00"/>
    <x v="1"/>
    <n v="0.0"/>
    <n v="3.45"/>
    <x v="1"/>
    <x v="1"/>
  </r>
  <r>
    <x v="128"/>
    <d v="2026-05-27T11:30:00"/>
    <x v="1"/>
    <n v="2412.14"/>
    <n v="5.0"/>
    <x v="0"/>
    <x v="1"/>
  </r>
  <r>
    <x v="129"/>
    <d v="2026-05-27T11:30:00"/>
    <x v="0"/>
    <n v="0.0"/>
    <n v="3.96"/>
    <x v="1"/>
    <x v="1"/>
  </r>
  <r>
    <x v="130"/>
    <d v="2026-05-27T11:30:00"/>
    <x v="2"/>
    <n v="1051.85"/>
    <m/>
    <x v="0"/>
    <x v="1"/>
  </r>
  <r>
    <x v="131"/>
    <d v="2026-05-27T11:30:00"/>
    <x v="1"/>
    <n v="1317.82"/>
    <n v="3.27"/>
    <x v="0"/>
    <x v="1"/>
  </r>
  <r>
    <x v="132"/>
    <d v="2026-05-27T11:30:00"/>
    <x v="3"/>
    <n v="1762.5"/>
    <n v="3.87"/>
    <x v="0"/>
    <x v="1"/>
  </r>
  <r>
    <x v="133"/>
    <d v="2026-05-27T11:30:00"/>
    <x v="0"/>
    <n v="0.0"/>
    <n v="4.17"/>
    <x v="2"/>
    <x v="1"/>
  </r>
  <r>
    <x v="134"/>
    <d v="2026-05-27T11:30:00"/>
    <x v="3"/>
    <n v="0.0"/>
    <n v="4.06"/>
    <x v="2"/>
    <x v="1"/>
  </r>
  <r>
    <x v="135"/>
    <d v="2026-05-27T11:30:00"/>
    <x v="0"/>
    <n v="0.0"/>
    <m/>
    <x v="1"/>
    <x v="1"/>
  </r>
  <r>
    <x v="136"/>
    <d v="2026-05-27T11:30:00"/>
    <x v="1"/>
    <n v="1618.36"/>
    <n v="4.13"/>
    <x v="0"/>
    <x v="1"/>
  </r>
  <r>
    <x v="137"/>
    <d v="2026-05-27T11:30:00"/>
    <x v="3"/>
    <n v="1854.24"/>
    <n v="4.4"/>
    <x v="0"/>
    <x v="1"/>
  </r>
  <r>
    <x v="138"/>
    <d v="2026-05-27T11:30:00"/>
    <x v="0"/>
    <n v="0.0"/>
    <m/>
    <x v="2"/>
    <x v="1"/>
  </r>
  <r>
    <x v="139"/>
    <d v="2026-05-27T11:30:00"/>
    <x v="1"/>
    <n v="2349.8"/>
    <n v="4.28"/>
    <x v="0"/>
    <x v="1"/>
  </r>
  <r>
    <x v="140"/>
    <d v="2026-05-27T11:30:00"/>
    <x v="0"/>
    <n v="1677.54"/>
    <n v="4.35"/>
    <x v="0"/>
    <x v="1"/>
  </r>
  <r>
    <x v="141"/>
    <d v="2026-05-27T11:30:00"/>
    <x v="1"/>
    <n v="0.0"/>
    <m/>
    <x v="1"/>
    <x v="1"/>
  </r>
  <r>
    <x v="142"/>
    <d v="2026-05-27T11:30:00"/>
    <x v="3"/>
    <n v="1627.11"/>
    <n v="4.06"/>
    <x v="0"/>
    <x v="1"/>
  </r>
  <r>
    <x v="143"/>
    <d v="2026-05-27T11:30:00"/>
    <x v="2"/>
    <n v="0.0"/>
    <n v="3.86"/>
    <x v="1"/>
    <x v="1"/>
  </r>
  <r>
    <x v="144"/>
    <d v="2026-05-27T11:30:00"/>
    <x v="3"/>
    <n v="1511.29"/>
    <n v="3.61"/>
    <x v="0"/>
    <x v="1"/>
  </r>
  <r>
    <x v="145"/>
    <d v="2026-05-27T11:30:00"/>
    <x v="3"/>
    <n v="1004.44"/>
    <n v="4.45"/>
    <x v="0"/>
    <x v="1"/>
  </r>
  <r>
    <x v="146"/>
    <d v="2026-05-27T11:30:00"/>
    <x v="3"/>
    <n v="1262.88"/>
    <n v="4.41"/>
    <x v="0"/>
    <x v="1"/>
  </r>
  <r>
    <x v="147"/>
    <d v="2026-05-27T11:30:00"/>
    <x v="1"/>
    <n v="0.0"/>
    <n v="4.26"/>
    <x v="2"/>
    <x v="1"/>
  </r>
  <r>
    <x v="148"/>
    <d v="2026-05-27T11:30:00"/>
    <x v="2"/>
    <n v="1785.94"/>
    <n v="4.11"/>
    <x v="0"/>
    <x v="1"/>
  </r>
  <r>
    <x v="149"/>
    <d v="2026-05-27T11:30:00"/>
    <x v="3"/>
    <n v="0.0"/>
    <m/>
    <x v="1"/>
    <x v="1"/>
  </r>
  <r>
    <x v="150"/>
    <d v="2026-05-27T11:35:00"/>
    <x v="3"/>
    <n v="0.0"/>
    <n v="3.89"/>
    <x v="1"/>
    <x v="2"/>
  </r>
  <r>
    <x v="151"/>
    <d v="2026-05-27T11:35:00"/>
    <x v="1"/>
    <n v="0.0"/>
    <n v="3.67"/>
    <x v="2"/>
    <x v="2"/>
  </r>
  <r>
    <x v="152"/>
    <d v="2026-05-27T11:35:00"/>
    <x v="3"/>
    <n v="1117.25"/>
    <n v="4.6"/>
    <x v="0"/>
    <x v="2"/>
  </r>
  <r>
    <x v="153"/>
    <d v="2026-05-27T11:35:00"/>
    <x v="3"/>
    <n v="820.52"/>
    <n v="4.17"/>
    <x v="0"/>
    <x v="2"/>
  </r>
  <r>
    <x v="154"/>
    <d v="2026-05-27T11:35:00"/>
    <x v="2"/>
    <n v="1366.46"/>
    <n v="4.47"/>
    <x v="0"/>
    <x v="2"/>
  </r>
  <r>
    <x v="155"/>
    <d v="2026-05-27T11:35:00"/>
    <x v="2"/>
    <n v="0.0"/>
    <n v="3.49"/>
    <x v="2"/>
    <x v="2"/>
  </r>
  <r>
    <x v="156"/>
    <d v="2026-05-27T11:35:00"/>
    <x v="2"/>
    <n v="1456.82"/>
    <n v="4.32"/>
    <x v="0"/>
    <x v="2"/>
  </r>
  <r>
    <x v="157"/>
    <d v="2026-05-27T11:35:00"/>
    <x v="1"/>
    <n v="1144.73"/>
    <n v="3.99"/>
    <x v="0"/>
    <x v="2"/>
  </r>
  <r>
    <x v="158"/>
    <d v="2026-05-27T11:35:00"/>
    <x v="1"/>
    <n v="2456.77"/>
    <n v="4.72"/>
    <x v="0"/>
    <x v="2"/>
  </r>
  <r>
    <x v="159"/>
    <d v="2026-05-27T11:35:00"/>
    <x v="2"/>
    <n v="703.66"/>
    <n v="4.06"/>
    <x v="0"/>
    <x v="2"/>
  </r>
  <r>
    <x v="160"/>
    <d v="2026-05-27T11:35:00"/>
    <x v="3"/>
    <n v="0.0"/>
    <m/>
    <x v="1"/>
    <x v="2"/>
  </r>
  <r>
    <x v="161"/>
    <d v="2026-05-27T11:35:00"/>
    <x v="0"/>
    <n v="2778.61"/>
    <n v="4.82"/>
    <x v="0"/>
    <x v="2"/>
  </r>
  <r>
    <x v="162"/>
    <d v="2026-05-27T11:35:00"/>
    <x v="2"/>
    <n v="2262.39"/>
    <n v="3.99"/>
    <x v="0"/>
    <x v="2"/>
  </r>
  <r>
    <x v="163"/>
    <d v="2026-05-27T11:35:00"/>
    <x v="3"/>
    <n v="1645.12"/>
    <n v="4.56"/>
    <x v="0"/>
    <x v="2"/>
  </r>
  <r>
    <x v="164"/>
    <d v="2026-05-27T11:35:00"/>
    <x v="2"/>
    <n v="860.59"/>
    <n v="3.57"/>
    <x v="0"/>
    <x v="2"/>
  </r>
  <r>
    <x v="165"/>
    <d v="2026-05-27T11:35:00"/>
    <x v="3"/>
    <n v="1296.0"/>
    <n v="4.87"/>
    <x v="0"/>
    <x v="2"/>
  </r>
  <r>
    <x v="166"/>
    <d v="2026-05-27T11:35:00"/>
    <x v="0"/>
    <n v="1243.41"/>
    <n v="3.73"/>
    <x v="0"/>
    <x v="2"/>
  </r>
  <r>
    <x v="167"/>
    <d v="2026-05-27T11:35:00"/>
    <x v="3"/>
    <n v="0.0"/>
    <n v="4.75"/>
    <x v="2"/>
    <x v="2"/>
  </r>
  <r>
    <x v="168"/>
    <d v="2026-05-27T11:35:00"/>
    <x v="0"/>
    <n v="1008.61"/>
    <n v="4.1"/>
    <x v="0"/>
    <x v="2"/>
  </r>
  <r>
    <x v="169"/>
    <d v="2026-05-27T11:35:00"/>
    <x v="1"/>
    <n v="0.0"/>
    <n v="3.2"/>
    <x v="1"/>
    <x v="2"/>
  </r>
  <r>
    <x v="170"/>
    <d v="2026-05-27T11:35:00"/>
    <x v="3"/>
    <n v="1539.5"/>
    <n v="4.17"/>
    <x v="0"/>
    <x v="2"/>
  </r>
  <r>
    <x v="171"/>
    <d v="2026-05-27T11:35:00"/>
    <x v="1"/>
    <n v="0.0"/>
    <n v="3.2"/>
    <x v="1"/>
    <x v="2"/>
  </r>
  <r>
    <x v="172"/>
    <d v="2026-05-27T11:35:00"/>
    <x v="0"/>
    <n v="1334.21"/>
    <n v="4.75"/>
    <x v="0"/>
    <x v="2"/>
  </r>
  <r>
    <x v="173"/>
    <d v="2026-05-27T11:35:00"/>
    <x v="0"/>
    <n v="1182.65"/>
    <n v="4.64"/>
    <x v="0"/>
    <x v="2"/>
  </r>
  <r>
    <x v="174"/>
    <d v="2026-05-27T11:35:00"/>
    <x v="2"/>
    <n v="2062.72"/>
    <n v="4.76"/>
    <x v="0"/>
    <x v="2"/>
  </r>
  <r>
    <x v="175"/>
    <d v="2026-05-27T11:35:00"/>
    <x v="3"/>
    <n v="1648.28"/>
    <n v="3.96"/>
    <x v="0"/>
    <x v="2"/>
  </r>
  <r>
    <x v="176"/>
    <d v="2026-05-27T11:35:00"/>
    <x v="2"/>
    <n v="2031.4"/>
    <n v="3.92"/>
    <x v="0"/>
    <x v="2"/>
  </r>
  <r>
    <x v="177"/>
    <d v="2026-05-27T11:35:00"/>
    <x v="3"/>
    <n v="903.27"/>
    <m/>
    <x v="0"/>
    <x v="2"/>
  </r>
  <r>
    <x v="178"/>
    <d v="2026-05-27T11:35:00"/>
    <x v="1"/>
    <n v="3658.92"/>
    <n v="4.35"/>
    <x v="0"/>
    <x v="2"/>
  </r>
  <r>
    <x v="179"/>
    <d v="2026-05-27T11:35:00"/>
    <x v="1"/>
    <n v="1368.87"/>
    <n v="3.45"/>
    <x v="0"/>
    <x v="2"/>
  </r>
  <r>
    <x v="180"/>
    <d v="2026-05-27T11:35:00"/>
    <x v="0"/>
    <n v="834.2"/>
    <n v="3.82"/>
    <x v="0"/>
    <x v="2"/>
  </r>
  <r>
    <x v="181"/>
    <d v="2026-05-27T11:35:00"/>
    <x v="3"/>
    <n v="0.0"/>
    <n v="4.19"/>
    <x v="1"/>
    <x v="2"/>
  </r>
  <r>
    <x v="182"/>
    <d v="2026-05-27T11:35:00"/>
    <x v="3"/>
    <n v="0.0"/>
    <n v="4.03"/>
    <x v="1"/>
    <x v="2"/>
  </r>
  <r>
    <x v="183"/>
    <d v="2026-05-27T11:35:00"/>
    <x v="0"/>
    <n v="1215.05"/>
    <n v="4.36"/>
    <x v="0"/>
    <x v="2"/>
  </r>
  <r>
    <x v="184"/>
    <d v="2026-05-27T11:35:00"/>
    <x v="1"/>
    <n v="967.13"/>
    <n v="4.64"/>
    <x v="0"/>
    <x v="2"/>
  </r>
  <r>
    <x v="185"/>
    <d v="2026-05-27T11:35:00"/>
    <x v="1"/>
    <n v="2317.02"/>
    <n v="3.3"/>
    <x v="0"/>
    <x v="2"/>
  </r>
  <r>
    <x v="186"/>
    <d v="2026-05-27T11:35:00"/>
    <x v="0"/>
    <n v="1625.29"/>
    <n v="4.49"/>
    <x v="0"/>
    <x v="2"/>
  </r>
  <r>
    <x v="187"/>
    <d v="2026-05-27T11:35:00"/>
    <x v="1"/>
    <n v="0.0"/>
    <n v="4.26"/>
    <x v="1"/>
    <x v="2"/>
  </r>
  <r>
    <x v="188"/>
    <d v="2026-05-27T11:35:00"/>
    <x v="1"/>
    <n v="3230.77"/>
    <m/>
    <x v="0"/>
    <x v="2"/>
  </r>
  <r>
    <x v="189"/>
    <d v="2026-05-27T11:35:00"/>
    <x v="3"/>
    <n v="4685.32"/>
    <n v="3.73"/>
    <x v="0"/>
    <x v="2"/>
  </r>
  <r>
    <x v="190"/>
    <d v="2026-05-27T11:35:00"/>
    <x v="0"/>
    <n v="0.0"/>
    <n v="4.2"/>
    <x v="1"/>
    <x v="2"/>
  </r>
  <r>
    <x v="191"/>
    <d v="2026-05-27T11:35:00"/>
    <x v="2"/>
    <n v="2027.37"/>
    <n v="5.0"/>
    <x v="0"/>
    <x v="2"/>
  </r>
  <r>
    <x v="192"/>
    <d v="2026-05-27T11:35:00"/>
    <x v="3"/>
    <n v="1810.29"/>
    <m/>
    <x v="0"/>
    <x v="2"/>
  </r>
  <r>
    <x v="193"/>
    <d v="2026-05-27T11:35:00"/>
    <x v="2"/>
    <n v="0.0"/>
    <m/>
    <x v="1"/>
    <x v="2"/>
  </r>
  <r>
    <x v="194"/>
    <d v="2026-05-27T11:35:00"/>
    <x v="3"/>
    <n v="0.0"/>
    <n v="3.6"/>
    <x v="1"/>
    <x v="2"/>
  </r>
  <r>
    <x v="195"/>
    <d v="2026-05-27T11:35:00"/>
    <x v="0"/>
    <n v="1070.7"/>
    <n v="4.23"/>
    <x v="0"/>
    <x v="2"/>
  </r>
  <r>
    <x v="196"/>
    <d v="2026-05-27T11:35:00"/>
    <x v="3"/>
    <n v="0.0"/>
    <n v="3.51"/>
    <x v="1"/>
    <x v="2"/>
  </r>
  <r>
    <x v="197"/>
    <d v="2026-05-27T11:35:00"/>
    <x v="2"/>
    <n v="655.28"/>
    <m/>
    <x v="0"/>
    <x v="2"/>
  </r>
  <r>
    <x v="198"/>
    <d v="2026-05-27T11:35:00"/>
    <x v="3"/>
    <n v="0.0"/>
    <n v="3.64"/>
    <x v="1"/>
    <x v="2"/>
  </r>
  <r>
    <x v="199"/>
    <d v="2026-05-27T11:35:00"/>
    <x v="1"/>
    <n v="3333.81"/>
    <m/>
    <x v="0"/>
    <x v="2"/>
  </r>
  <r>
    <x v="200"/>
    <d v="2026-05-27T11:35:00"/>
    <x v="3"/>
    <n v="0.0"/>
    <n v="4.95"/>
    <x v="2"/>
    <x v="2"/>
  </r>
  <r>
    <x v="201"/>
    <d v="2026-05-27T11:35:00"/>
    <x v="1"/>
    <n v="1461.43"/>
    <m/>
    <x v="0"/>
    <x v="2"/>
  </r>
  <r>
    <x v="202"/>
    <d v="2026-05-27T11:35:00"/>
    <x v="1"/>
    <n v="0.0"/>
    <n v="4.21"/>
    <x v="1"/>
    <x v="2"/>
  </r>
  <r>
    <x v="203"/>
    <d v="2026-05-27T11:35:00"/>
    <x v="2"/>
    <n v="2031.01"/>
    <n v="4.06"/>
    <x v="0"/>
    <x v="2"/>
  </r>
  <r>
    <x v="204"/>
    <d v="2026-05-27T11:35:00"/>
    <x v="0"/>
    <n v="1150.04"/>
    <n v="3.3"/>
    <x v="0"/>
    <x v="2"/>
  </r>
  <r>
    <x v="205"/>
    <d v="2026-05-27T11:35:00"/>
    <x v="1"/>
    <n v="2057.18"/>
    <n v="3.65"/>
    <x v="0"/>
    <x v="2"/>
  </r>
  <r>
    <x v="206"/>
    <d v="2026-05-27T11:35:00"/>
    <x v="0"/>
    <n v="2089.05"/>
    <n v="3.92"/>
    <x v="0"/>
    <x v="2"/>
  </r>
  <r>
    <x v="207"/>
    <d v="2026-05-27T11:35:00"/>
    <x v="3"/>
    <n v="559.66"/>
    <n v="3.47"/>
    <x v="0"/>
    <x v="2"/>
  </r>
  <r>
    <x v="208"/>
    <d v="2026-05-27T11:35:00"/>
    <x v="0"/>
    <n v="1379.01"/>
    <m/>
    <x v="0"/>
    <x v="2"/>
  </r>
  <r>
    <x v="209"/>
    <d v="2026-05-27T11:35:00"/>
    <x v="0"/>
    <n v="3147.89"/>
    <n v="3.56"/>
    <x v="0"/>
    <x v="2"/>
  </r>
  <r>
    <x v="210"/>
    <d v="2026-05-27T11:35:00"/>
    <x v="1"/>
    <n v="1538.59"/>
    <n v="5.0"/>
    <x v="0"/>
    <x v="2"/>
  </r>
  <r>
    <x v="211"/>
    <d v="2026-05-27T11:35:00"/>
    <x v="2"/>
    <n v="836.83"/>
    <n v="3.21"/>
    <x v="0"/>
    <x v="2"/>
  </r>
  <r>
    <x v="212"/>
    <d v="2026-05-27T11:35:00"/>
    <x v="3"/>
    <n v="1170.62"/>
    <n v="3.79"/>
    <x v="0"/>
    <x v="2"/>
  </r>
  <r>
    <x v="213"/>
    <d v="2026-05-27T11:35:00"/>
    <x v="2"/>
    <n v="0.0"/>
    <n v="3.53"/>
    <x v="1"/>
    <x v="2"/>
  </r>
  <r>
    <x v="214"/>
    <d v="2026-05-27T11:35:00"/>
    <x v="0"/>
    <n v="894.6"/>
    <n v="4.65"/>
    <x v="0"/>
    <x v="2"/>
  </r>
  <r>
    <x v="215"/>
    <d v="2026-05-27T11:35:00"/>
    <x v="1"/>
    <n v="840.07"/>
    <n v="4.22"/>
    <x v="0"/>
    <x v="2"/>
  </r>
  <r>
    <x v="216"/>
    <d v="2026-05-27T11:35:00"/>
    <x v="3"/>
    <n v="0.0"/>
    <n v="4.34"/>
    <x v="1"/>
    <x v="2"/>
  </r>
  <r>
    <x v="217"/>
    <d v="2026-05-27T11:35:00"/>
    <x v="2"/>
    <n v="0.0"/>
    <n v="4.03"/>
    <x v="1"/>
    <x v="2"/>
  </r>
  <r>
    <x v="218"/>
    <d v="2026-05-27T11:35:00"/>
    <x v="1"/>
    <n v="1487.7"/>
    <n v="3.89"/>
    <x v="0"/>
    <x v="2"/>
  </r>
  <r>
    <x v="219"/>
    <d v="2026-05-27T11:35:00"/>
    <x v="2"/>
    <n v="0.0"/>
    <n v="3.24"/>
    <x v="1"/>
    <x v="2"/>
  </r>
  <r>
    <x v="220"/>
    <d v="2026-05-27T11:35:00"/>
    <x v="2"/>
    <n v="1046.17"/>
    <n v="4.76"/>
    <x v="0"/>
    <x v="2"/>
  </r>
  <r>
    <x v="221"/>
    <d v="2026-05-27T11:35:00"/>
    <x v="1"/>
    <n v="1738.56"/>
    <n v="3.57"/>
    <x v="0"/>
    <x v="2"/>
  </r>
  <r>
    <x v="222"/>
    <d v="2026-05-27T11:35:00"/>
    <x v="3"/>
    <n v="0.0"/>
    <n v="4.26"/>
    <x v="1"/>
    <x v="2"/>
  </r>
  <r>
    <x v="223"/>
    <d v="2026-05-27T11:35:00"/>
    <x v="3"/>
    <n v="1114.76"/>
    <n v="5.0"/>
    <x v="0"/>
    <x v="2"/>
  </r>
  <r>
    <x v="224"/>
    <d v="2026-05-27T11:35:00"/>
    <x v="1"/>
    <n v="1644.07"/>
    <n v="4.26"/>
    <x v="0"/>
    <x v="2"/>
  </r>
  <r>
    <x v="225"/>
    <d v="2026-05-27T11:35:00"/>
    <x v="3"/>
    <n v="1300.52"/>
    <n v="3.89"/>
    <x v="0"/>
    <x v="2"/>
  </r>
  <r>
    <x v="226"/>
    <d v="2026-05-27T11:35:00"/>
    <x v="2"/>
    <n v="843.63"/>
    <n v="4.38"/>
    <x v="0"/>
    <x v="2"/>
  </r>
  <r>
    <x v="227"/>
    <d v="2026-05-27T11:35:00"/>
    <x v="3"/>
    <n v="1006.17"/>
    <n v="3.27"/>
    <x v="0"/>
    <x v="2"/>
  </r>
  <r>
    <x v="228"/>
    <d v="2026-05-27T11:35:00"/>
    <x v="2"/>
    <n v="0.0"/>
    <n v="3.74"/>
    <x v="2"/>
    <x v="2"/>
  </r>
  <r>
    <x v="229"/>
    <d v="2026-05-27T11:40:00"/>
    <x v="2"/>
    <n v="0.0"/>
    <n v="3.63"/>
    <x v="1"/>
    <x v="3"/>
  </r>
  <r>
    <x v="230"/>
    <d v="2026-05-27T11:40:00"/>
    <x v="1"/>
    <n v="1063.65"/>
    <n v="4.54"/>
    <x v="0"/>
    <x v="3"/>
  </r>
  <r>
    <x v="231"/>
    <d v="2026-05-27T11:40:00"/>
    <x v="3"/>
    <n v="1874.45"/>
    <m/>
    <x v="0"/>
    <x v="3"/>
  </r>
  <r>
    <x v="232"/>
    <d v="2026-05-27T11:40:00"/>
    <x v="0"/>
    <n v="2827.08"/>
    <n v="3.68"/>
    <x v="0"/>
    <x v="3"/>
  </r>
  <r>
    <x v="233"/>
    <d v="2026-05-27T11:40:00"/>
    <x v="2"/>
    <n v="0.0"/>
    <n v="4.41"/>
    <x v="1"/>
    <x v="3"/>
  </r>
  <r>
    <x v="234"/>
    <d v="2026-05-27T11:40:00"/>
    <x v="3"/>
    <n v="973.2"/>
    <n v="5.0"/>
    <x v="0"/>
    <x v="3"/>
  </r>
  <r>
    <x v="235"/>
    <d v="2026-05-27T11:40:00"/>
    <x v="1"/>
    <n v="0.0"/>
    <n v="3.59"/>
    <x v="1"/>
    <x v="3"/>
  </r>
  <r>
    <x v="236"/>
    <d v="2026-05-27T11:40:00"/>
    <x v="3"/>
    <n v="1149.81"/>
    <n v="4.0"/>
    <x v="0"/>
    <x v="3"/>
  </r>
  <r>
    <x v="237"/>
    <d v="2026-05-27T11:40:00"/>
    <x v="2"/>
    <n v="0.0"/>
    <n v="3.78"/>
    <x v="1"/>
    <x v="3"/>
  </r>
  <r>
    <x v="238"/>
    <d v="2026-05-27T11:40:00"/>
    <x v="0"/>
    <n v="994.9"/>
    <n v="3.52"/>
    <x v="0"/>
    <x v="3"/>
  </r>
  <r>
    <x v="239"/>
    <d v="2026-05-27T11:40:00"/>
    <x v="0"/>
    <n v="0.0"/>
    <n v="3.73"/>
    <x v="1"/>
    <x v="3"/>
  </r>
  <r>
    <x v="240"/>
    <d v="2026-05-27T11:40:00"/>
    <x v="1"/>
    <n v="859.39"/>
    <n v="3.73"/>
    <x v="0"/>
    <x v="3"/>
  </r>
  <r>
    <x v="241"/>
    <d v="2026-05-27T11:40:00"/>
    <x v="0"/>
    <n v="909.8"/>
    <n v="4.02"/>
    <x v="0"/>
    <x v="3"/>
  </r>
  <r>
    <x v="242"/>
    <d v="2026-05-27T11:40:00"/>
    <x v="1"/>
    <n v="1811.17"/>
    <n v="4.57"/>
    <x v="0"/>
    <x v="3"/>
  </r>
  <r>
    <x v="243"/>
    <d v="2026-05-27T11:40:00"/>
    <x v="2"/>
    <n v="2298.18"/>
    <n v="4.78"/>
    <x v="0"/>
    <x v="3"/>
  </r>
  <r>
    <x v="244"/>
    <d v="2026-05-27T11:40:00"/>
    <x v="2"/>
    <n v="0.0"/>
    <n v="2.98"/>
    <x v="1"/>
    <x v="3"/>
  </r>
  <r>
    <x v="245"/>
    <d v="2026-05-27T11:40:00"/>
    <x v="0"/>
    <n v="2027.86"/>
    <m/>
    <x v="0"/>
    <x v="3"/>
  </r>
  <r>
    <x v="246"/>
    <d v="2026-05-27T11:40:00"/>
    <x v="0"/>
    <n v="814.67"/>
    <n v="2.93"/>
    <x v="0"/>
    <x v="3"/>
  </r>
  <r>
    <x v="247"/>
    <d v="2026-05-27T11:40:00"/>
    <x v="0"/>
    <n v="2104.09"/>
    <n v="3.52"/>
    <x v="0"/>
    <x v="3"/>
  </r>
  <r>
    <x v="248"/>
    <d v="2026-05-27T11:40:00"/>
    <x v="2"/>
    <n v="0.0"/>
    <n v="4.18"/>
    <x v="1"/>
    <x v="3"/>
  </r>
  <r>
    <x v="249"/>
    <d v="2026-05-27T11:40:00"/>
    <x v="0"/>
    <n v="1121.69"/>
    <n v="4.96"/>
    <x v="0"/>
    <x v="3"/>
  </r>
  <r>
    <x v="250"/>
    <d v="2026-05-27T11:40:00"/>
    <x v="3"/>
    <n v="808.95"/>
    <n v="4.97"/>
    <x v="0"/>
    <x v="3"/>
  </r>
  <r>
    <x v="251"/>
    <d v="2026-05-27T11:40:00"/>
    <x v="3"/>
    <n v="0.0"/>
    <n v="4.06"/>
    <x v="1"/>
    <x v="3"/>
  </r>
  <r>
    <x v="252"/>
    <d v="2026-05-27T11:40:00"/>
    <x v="3"/>
    <n v="816.78"/>
    <n v="4.87"/>
    <x v="0"/>
    <x v="3"/>
  </r>
  <r>
    <x v="253"/>
    <d v="2026-05-27T11:40:00"/>
    <x v="3"/>
    <n v="0.0"/>
    <n v="4.95"/>
    <x v="1"/>
    <x v="3"/>
  </r>
  <r>
    <x v="254"/>
    <d v="2026-05-27T11:40:00"/>
    <x v="0"/>
    <n v="0.0"/>
    <n v="3.64"/>
    <x v="2"/>
    <x v="3"/>
  </r>
  <r>
    <x v="255"/>
    <d v="2026-05-27T11:40:00"/>
    <x v="2"/>
    <n v="832.0"/>
    <n v="3.57"/>
    <x v="0"/>
    <x v="3"/>
  </r>
  <r>
    <x v="256"/>
    <d v="2026-05-27T11:40:00"/>
    <x v="3"/>
    <n v="2141.34"/>
    <n v="4.28"/>
    <x v="0"/>
    <x v="3"/>
  </r>
  <r>
    <x v="257"/>
    <d v="2026-05-27T11:40:00"/>
    <x v="2"/>
    <n v="2207.44"/>
    <n v="4.15"/>
    <x v="0"/>
    <x v="3"/>
  </r>
  <r>
    <x v="258"/>
    <d v="2026-05-27T11:40:00"/>
    <x v="2"/>
    <n v="1639.8"/>
    <n v="4.11"/>
    <x v="0"/>
    <x v="3"/>
  </r>
  <r>
    <x v="259"/>
    <d v="2026-05-27T11:40:00"/>
    <x v="2"/>
    <n v="0.0"/>
    <n v="3.98"/>
    <x v="2"/>
    <x v="3"/>
  </r>
  <r>
    <x v="260"/>
    <d v="2026-05-27T11:40:00"/>
    <x v="2"/>
    <n v="1272.29"/>
    <n v="3.52"/>
    <x v="0"/>
    <x v="3"/>
  </r>
  <r>
    <x v="261"/>
    <d v="2026-05-27T11:40:00"/>
    <x v="3"/>
    <n v="1663.82"/>
    <n v="4.95"/>
    <x v="0"/>
    <x v="3"/>
  </r>
  <r>
    <x v="262"/>
    <d v="2026-05-27T11:40:00"/>
    <x v="1"/>
    <n v="0.0"/>
    <n v="3.58"/>
    <x v="2"/>
    <x v="3"/>
  </r>
  <r>
    <x v="263"/>
    <d v="2026-05-27T11:40:00"/>
    <x v="0"/>
    <n v="826.89"/>
    <n v="3.5"/>
    <x v="0"/>
    <x v="3"/>
  </r>
  <r>
    <x v="264"/>
    <d v="2026-05-27T11:40:00"/>
    <x v="0"/>
    <n v="4157.68"/>
    <n v="3.99"/>
    <x v="0"/>
    <x v="3"/>
  </r>
  <r>
    <x v="265"/>
    <d v="2026-05-27T11:40:00"/>
    <x v="3"/>
    <n v="2079.58"/>
    <n v="4.44"/>
    <x v="0"/>
    <x v="3"/>
  </r>
  <r>
    <x v="266"/>
    <d v="2026-05-27T11:40:00"/>
    <x v="2"/>
    <n v="1143.18"/>
    <n v="4.43"/>
    <x v="0"/>
    <x v="3"/>
  </r>
  <r>
    <x v="267"/>
    <d v="2026-05-27T11:40:00"/>
    <x v="2"/>
    <n v="0.0"/>
    <n v="4.58"/>
    <x v="1"/>
    <x v="3"/>
  </r>
  <r>
    <x v="268"/>
    <d v="2026-05-27T11:40:00"/>
    <x v="1"/>
    <n v="1988.77"/>
    <m/>
    <x v="0"/>
    <x v="3"/>
  </r>
  <r>
    <x v="269"/>
    <d v="2026-05-27T11:40:00"/>
    <x v="3"/>
    <n v="744.69"/>
    <n v="4.31"/>
    <x v="0"/>
    <x v="3"/>
  </r>
  <r>
    <x v="270"/>
    <d v="2026-05-27T11:40:00"/>
    <x v="2"/>
    <n v="1907.92"/>
    <m/>
    <x v="0"/>
    <x v="3"/>
  </r>
  <r>
    <x v="271"/>
    <d v="2026-05-27T11:40:00"/>
    <x v="1"/>
    <n v="502.34"/>
    <n v="3.79"/>
    <x v="0"/>
    <x v="3"/>
  </r>
  <r>
    <x v="272"/>
    <d v="2026-05-27T11:40:00"/>
    <x v="3"/>
    <n v="0.0"/>
    <n v="4.45"/>
    <x v="2"/>
    <x v="3"/>
  </r>
  <r>
    <x v="273"/>
    <d v="2026-05-27T11:40:00"/>
    <x v="0"/>
    <n v="2480.29"/>
    <n v="3.86"/>
    <x v="0"/>
    <x v="3"/>
  </r>
  <r>
    <x v="274"/>
    <d v="2026-05-27T11:40:00"/>
    <x v="0"/>
    <n v="878.41"/>
    <m/>
    <x v="0"/>
    <x v="3"/>
  </r>
  <r>
    <x v="275"/>
    <d v="2026-05-27T11:40:00"/>
    <x v="2"/>
    <n v="0.0"/>
    <n v="4.32"/>
    <x v="1"/>
    <x v="3"/>
  </r>
  <r>
    <x v="276"/>
    <d v="2026-05-27T11:40:00"/>
    <x v="3"/>
    <n v="1826.78"/>
    <n v="3.51"/>
    <x v="0"/>
    <x v="3"/>
  </r>
  <r>
    <x v="277"/>
    <d v="2026-05-27T11:40:00"/>
    <x v="0"/>
    <n v="1560.68"/>
    <m/>
    <x v="0"/>
    <x v="3"/>
  </r>
  <r>
    <x v="278"/>
    <d v="2026-05-27T11:40:00"/>
    <x v="1"/>
    <n v="1391.64"/>
    <n v="3.85"/>
    <x v="0"/>
    <x v="3"/>
  </r>
  <r>
    <x v="279"/>
    <d v="2026-05-27T11:40:00"/>
    <x v="2"/>
    <n v="2293.69"/>
    <n v="3.18"/>
    <x v="0"/>
    <x v="3"/>
  </r>
  <r>
    <x v="280"/>
    <d v="2026-05-27T11:40:00"/>
    <x v="0"/>
    <n v="0.0"/>
    <n v="3.26"/>
    <x v="2"/>
    <x v="3"/>
  </r>
  <r>
    <x v="281"/>
    <d v="2026-05-27T11:40:00"/>
    <x v="1"/>
    <n v="0.0"/>
    <n v="3.66"/>
    <x v="1"/>
    <x v="3"/>
  </r>
  <r>
    <x v="282"/>
    <d v="2026-05-27T11:40:00"/>
    <x v="0"/>
    <n v="1495.44"/>
    <n v="3.91"/>
    <x v="0"/>
    <x v="3"/>
  </r>
  <r>
    <x v="283"/>
    <d v="2026-05-27T11:40:00"/>
    <x v="2"/>
    <n v="782.75"/>
    <m/>
    <x v="0"/>
    <x v="3"/>
  </r>
  <r>
    <x v="284"/>
    <d v="2026-05-27T11:40:00"/>
    <x v="3"/>
    <n v="662.75"/>
    <n v="4.12"/>
    <x v="0"/>
    <x v="3"/>
  </r>
  <r>
    <x v="285"/>
    <d v="2026-05-27T11:40:00"/>
    <x v="0"/>
    <n v="0.0"/>
    <n v="4.47"/>
    <x v="2"/>
    <x v="3"/>
  </r>
  <r>
    <x v="286"/>
    <d v="2026-05-27T11:40:00"/>
    <x v="1"/>
    <n v="1891.35"/>
    <n v="3.7"/>
    <x v="0"/>
    <x v="3"/>
  </r>
  <r>
    <x v="287"/>
    <d v="2026-05-27T11:40:00"/>
    <x v="0"/>
    <n v="911.86"/>
    <n v="4.82"/>
    <x v="0"/>
    <x v="3"/>
  </r>
  <r>
    <x v="288"/>
    <d v="2026-05-27T11:40:00"/>
    <x v="3"/>
    <n v="0.0"/>
    <n v="4.4"/>
    <x v="1"/>
    <x v="3"/>
  </r>
  <r>
    <x v="289"/>
    <d v="2026-05-27T11:40:00"/>
    <x v="2"/>
    <n v="863.82"/>
    <n v="3.7"/>
    <x v="0"/>
    <x v="3"/>
  </r>
  <r>
    <x v="290"/>
    <d v="2026-05-27T11:40:00"/>
    <x v="1"/>
    <n v="0.0"/>
    <n v="4.43"/>
    <x v="1"/>
    <x v="3"/>
  </r>
  <r>
    <x v="291"/>
    <d v="2026-05-27T11:40:00"/>
    <x v="0"/>
    <n v="0.0"/>
    <n v="3.3"/>
    <x v="1"/>
    <x v="3"/>
  </r>
  <r>
    <x v="292"/>
    <d v="2026-05-27T11:40:00"/>
    <x v="1"/>
    <n v="0.0"/>
    <n v="4.02"/>
    <x v="2"/>
    <x v="3"/>
  </r>
  <r>
    <x v="293"/>
    <d v="2026-05-27T11:45:00"/>
    <x v="2"/>
    <n v="1862.42"/>
    <n v="3.97"/>
    <x v="0"/>
    <x v="4"/>
  </r>
  <r>
    <x v="294"/>
    <d v="2026-05-27T11:45:00"/>
    <x v="2"/>
    <n v="1149.48"/>
    <n v="4.7"/>
    <x v="0"/>
    <x v="4"/>
  </r>
  <r>
    <x v="295"/>
    <d v="2026-05-27T11:45:00"/>
    <x v="1"/>
    <n v="983.75"/>
    <n v="4.14"/>
    <x v="0"/>
    <x v="4"/>
  </r>
  <r>
    <x v="296"/>
    <d v="2026-05-27T11:45:00"/>
    <x v="3"/>
    <n v="958.27"/>
    <n v="4.21"/>
    <x v="0"/>
    <x v="4"/>
  </r>
  <r>
    <x v="297"/>
    <d v="2026-05-27T11:45:00"/>
    <x v="0"/>
    <n v="1227.85"/>
    <n v="2.86"/>
    <x v="0"/>
    <x v="4"/>
  </r>
  <r>
    <x v="298"/>
    <d v="2026-05-27T11:45:00"/>
    <x v="1"/>
    <n v="0.0"/>
    <n v="4.49"/>
    <x v="1"/>
    <x v="4"/>
  </r>
  <r>
    <x v="299"/>
    <d v="2026-05-27T11:45:00"/>
    <x v="0"/>
    <n v="427.09"/>
    <m/>
    <x v="0"/>
    <x v="4"/>
  </r>
  <r>
    <x v="300"/>
    <d v="2026-05-27T11:45:00"/>
    <x v="2"/>
    <n v="0.0"/>
    <n v="3.35"/>
    <x v="1"/>
    <x v="4"/>
  </r>
  <r>
    <x v="301"/>
    <d v="2026-05-27T11:45:00"/>
    <x v="1"/>
    <n v="1668.34"/>
    <n v="4.45"/>
    <x v="0"/>
    <x v="4"/>
  </r>
  <r>
    <x v="302"/>
    <d v="2026-05-27T11:45:00"/>
    <x v="1"/>
    <n v="1580.48"/>
    <n v="3.68"/>
    <x v="0"/>
    <x v="4"/>
  </r>
  <r>
    <x v="303"/>
    <d v="2026-05-27T11:45:00"/>
    <x v="2"/>
    <n v="0.0"/>
    <n v="4.5"/>
    <x v="1"/>
    <x v="4"/>
  </r>
  <r>
    <x v="304"/>
    <d v="2026-05-27T11:45:00"/>
    <x v="3"/>
    <n v="0.0"/>
    <n v="2.48"/>
    <x v="1"/>
    <x v="4"/>
  </r>
  <r>
    <x v="305"/>
    <d v="2026-05-27T11:45:00"/>
    <x v="1"/>
    <n v="1224.21"/>
    <n v="3.94"/>
    <x v="0"/>
    <x v="4"/>
  </r>
  <r>
    <x v="306"/>
    <d v="2026-05-27T11:45:00"/>
    <x v="0"/>
    <n v="2624.67"/>
    <n v="3.23"/>
    <x v="0"/>
    <x v="4"/>
  </r>
  <r>
    <x v="307"/>
    <d v="2026-05-27T11:45:00"/>
    <x v="0"/>
    <n v="1534.08"/>
    <n v="3.83"/>
    <x v="0"/>
    <x v="4"/>
  </r>
  <r>
    <x v="308"/>
    <d v="2026-05-27T11:45:00"/>
    <x v="3"/>
    <n v="0.0"/>
    <n v="2.75"/>
    <x v="2"/>
    <x v="4"/>
  </r>
  <r>
    <x v="309"/>
    <d v="2026-05-27T11:45:00"/>
    <x v="3"/>
    <n v="1118.67"/>
    <n v="3.75"/>
    <x v="0"/>
    <x v="4"/>
  </r>
  <r>
    <x v="310"/>
    <d v="2026-05-27T11:45:00"/>
    <x v="3"/>
    <n v="1035.09"/>
    <n v="3.83"/>
    <x v="0"/>
    <x v="4"/>
  </r>
  <r>
    <x v="311"/>
    <d v="2026-05-27T11:45:00"/>
    <x v="3"/>
    <n v="0.0"/>
    <m/>
    <x v="1"/>
    <x v="4"/>
  </r>
  <r>
    <x v="312"/>
    <d v="2026-05-27T11:45:00"/>
    <x v="1"/>
    <n v="0.0"/>
    <n v="3.92"/>
    <x v="2"/>
    <x v="4"/>
  </r>
  <r>
    <x v="313"/>
    <d v="2026-05-27T11:45:00"/>
    <x v="3"/>
    <n v="651.72"/>
    <n v="4.52"/>
    <x v="0"/>
    <x v="4"/>
  </r>
  <r>
    <x v="314"/>
    <d v="2026-05-27T11:45:00"/>
    <x v="2"/>
    <n v="0.0"/>
    <n v="3.71"/>
    <x v="1"/>
    <x v="4"/>
  </r>
  <r>
    <x v="315"/>
    <d v="2026-05-27T11:45:00"/>
    <x v="2"/>
    <n v="542.79"/>
    <n v="4.17"/>
    <x v="0"/>
    <x v="4"/>
  </r>
  <r>
    <x v="316"/>
    <d v="2026-05-27T11:45:00"/>
    <x v="3"/>
    <n v="1957.34"/>
    <n v="4.02"/>
    <x v="0"/>
    <x v="4"/>
  </r>
  <r>
    <x v="317"/>
    <d v="2026-05-27T11:45:00"/>
    <x v="0"/>
    <n v="1249.82"/>
    <n v="4.38"/>
    <x v="0"/>
    <x v="4"/>
  </r>
  <r>
    <x v="318"/>
    <d v="2026-05-27T11:45:00"/>
    <x v="0"/>
    <n v="3952.72"/>
    <n v="3.45"/>
    <x v="0"/>
    <x v="4"/>
  </r>
  <r>
    <x v="319"/>
    <d v="2026-05-27T11:45:00"/>
    <x v="2"/>
    <n v="2202.07"/>
    <n v="3.45"/>
    <x v="0"/>
    <x v="4"/>
  </r>
  <r>
    <x v="320"/>
    <d v="2026-05-27T11:45:00"/>
    <x v="0"/>
    <n v="1832.98"/>
    <n v="3.86"/>
    <x v="0"/>
    <x v="4"/>
  </r>
  <r>
    <x v="321"/>
    <d v="2026-05-27T11:45:00"/>
    <x v="2"/>
    <n v="2229.95"/>
    <n v="4.24"/>
    <x v="0"/>
    <x v="4"/>
  </r>
  <r>
    <x v="322"/>
    <d v="2026-05-27T11:45:00"/>
    <x v="2"/>
    <n v="2571.01"/>
    <n v="3.81"/>
    <x v="0"/>
    <x v="4"/>
  </r>
  <r>
    <x v="323"/>
    <d v="2026-05-27T11:45:00"/>
    <x v="2"/>
    <n v="0.0"/>
    <n v="2.31"/>
    <x v="2"/>
    <x v="4"/>
  </r>
  <r>
    <x v="324"/>
    <d v="2026-05-27T11:45:00"/>
    <x v="3"/>
    <n v="808.86"/>
    <n v="3.72"/>
    <x v="0"/>
    <x v="4"/>
  </r>
  <r>
    <x v="325"/>
    <d v="2026-05-27T11:45:00"/>
    <x v="0"/>
    <n v="1088.15"/>
    <n v="4.74"/>
    <x v="0"/>
    <x v="4"/>
  </r>
  <r>
    <x v="326"/>
    <d v="2026-05-27T11:45:00"/>
    <x v="0"/>
    <n v="426.31"/>
    <n v="4.44"/>
    <x v="0"/>
    <x v="4"/>
  </r>
  <r>
    <x v="327"/>
    <d v="2026-05-27T11:45:00"/>
    <x v="0"/>
    <n v="2591.61"/>
    <n v="4.8"/>
    <x v="0"/>
    <x v="4"/>
  </r>
  <r>
    <x v="328"/>
    <d v="2026-05-27T11:45:00"/>
    <x v="0"/>
    <n v="1604.56"/>
    <n v="4.73"/>
    <x v="0"/>
    <x v="4"/>
  </r>
  <r>
    <x v="329"/>
    <d v="2026-05-27T11:45:00"/>
    <x v="2"/>
    <n v="2379.33"/>
    <n v="4.03"/>
    <x v="0"/>
    <x v="4"/>
  </r>
  <r>
    <x v="330"/>
    <d v="2026-05-27T11:45:00"/>
    <x v="3"/>
    <n v="1366.2"/>
    <n v="4.47"/>
    <x v="0"/>
    <x v="4"/>
  </r>
  <r>
    <x v="331"/>
    <d v="2026-05-27T11:45:00"/>
    <x v="3"/>
    <n v="0.0"/>
    <n v="4.21"/>
    <x v="1"/>
    <x v="4"/>
  </r>
  <r>
    <x v="332"/>
    <d v="2026-05-27T11:45:00"/>
    <x v="3"/>
    <n v="1247.01"/>
    <n v="2.92"/>
    <x v="0"/>
    <x v="4"/>
  </r>
  <r>
    <x v="333"/>
    <d v="2026-05-27T11:45:00"/>
    <x v="3"/>
    <n v="0.0"/>
    <n v="3.62"/>
    <x v="1"/>
    <x v="4"/>
  </r>
  <r>
    <x v="334"/>
    <d v="2026-05-27T11:45:00"/>
    <x v="1"/>
    <n v="1863.45"/>
    <n v="4.46"/>
    <x v="0"/>
    <x v="4"/>
  </r>
  <r>
    <x v="335"/>
    <d v="2026-05-27T11:45:00"/>
    <x v="1"/>
    <n v="3269.29"/>
    <n v="3.0"/>
    <x v="0"/>
    <x v="4"/>
  </r>
  <r>
    <x v="336"/>
    <d v="2026-05-27T11:45:00"/>
    <x v="3"/>
    <n v="0.0"/>
    <m/>
    <x v="1"/>
    <x v="4"/>
  </r>
  <r>
    <x v="337"/>
    <d v="2026-05-27T11:45:00"/>
    <x v="3"/>
    <n v="1525.1"/>
    <n v="3.55"/>
    <x v="0"/>
    <x v="4"/>
  </r>
  <r>
    <x v="338"/>
    <d v="2026-05-27T11:45:00"/>
    <x v="3"/>
    <n v="2966.22"/>
    <n v="4.2"/>
    <x v="0"/>
    <x v="4"/>
  </r>
  <r>
    <x v="339"/>
    <d v="2026-05-27T11:45:00"/>
    <x v="0"/>
    <n v="2279.26"/>
    <n v="4.59"/>
    <x v="0"/>
    <x v="4"/>
  </r>
  <r>
    <x v="340"/>
    <d v="2026-05-27T11:45:00"/>
    <x v="2"/>
    <n v="1083.47"/>
    <m/>
    <x v="0"/>
    <x v="4"/>
  </r>
  <r>
    <x v="341"/>
    <d v="2026-05-27T11:45:00"/>
    <x v="3"/>
    <n v="800.49"/>
    <n v="4.28"/>
    <x v="0"/>
    <x v="4"/>
  </r>
  <r>
    <x v="342"/>
    <d v="2026-05-27T11:45:00"/>
    <x v="0"/>
    <n v="2010.11"/>
    <n v="3.92"/>
    <x v="0"/>
    <x v="4"/>
  </r>
  <r>
    <x v="343"/>
    <d v="2026-05-27T11:45:00"/>
    <x v="3"/>
    <n v="1215.87"/>
    <n v="3.88"/>
    <x v="0"/>
    <x v="4"/>
  </r>
  <r>
    <x v="344"/>
    <d v="2026-05-27T11:45:00"/>
    <x v="2"/>
    <n v="2388.7"/>
    <m/>
    <x v="0"/>
    <x v="4"/>
  </r>
  <r>
    <x v="345"/>
    <d v="2026-05-27T11:45:00"/>
    <x v="1"/>
    <n v="1023.91"/>
    <n v="3.56"/>
    <x v="0"/>
    <x v="4"/>
  </r>
  <r>
    <x v="346"/>
    <d v="2026-05-27T11:45:00"/>
    <x v="1"/>
    <n v="1076.68"/>
    <m/>
    <x v="0"/>
    <x v="4"/>
  </r>
  <r>
    <x v="347"/>
    <d v="2026-05-27T11:45:00"/>
    <x v="1"/>
    <n v="0.0"/>
    <m/>
    <x v="2"/>
    <x v="4"/>
  </r>
  <r>
    <x v="348"/>
    <d v="2026-05-27T11:45:00"/>
    <x v="0"/>
    <n v="1118.74"/>
    <n v="4.49"/>
    <x v="0"/>
    <x v="4"/>
  </r>
  <r>
    <x v="349"/>
    <d v="2026-05-27T11:45:00"/>
    <x v="0"/>
    <n v="1765.56"/>
    <n v="3.22"/>
    <x v="0"/>
    <x v="4"/>
  </r>
  <r>
    <x v="350"/>
    <d v="2026-05-27T11:45:00"/>
    <x v="0"/>
    <n v="2823.95"/>
    <n v="3.88"/>
    <x v="0"/>
    <x v="4"/>
  </r>
  <r>
    <x v="351"/>
    <d v="2026-05-27T11:45:00"/>
    <x v="0"/>
    <n v="1271.46"/>
    <n v="3.28"/>
    <x v="0"/>
    <x v="4"/>
  </r>
  <r>
    <x v="352"/>
    <d v="2026-05-27T11:45:00"/>
    <x v="0"/>
    <n v="1423.3"/>
    <n v="4.16"/>
    <x v="0"/>
    <x v="4"/>
  </r>
  <r>
    <x v="353"/>
    <d v="2026-05-27T11:45:00"/>
    <x v="0"/>
    <n v="859.58"/>
    <n v="5.0"/>
    <x v="0"/>
    <x v="4"/>
  </r>
  <r>
    <x v="354"/>
    <d v="2026-05-27T11:45:00"/>
    <x v="2"/>
    <n v="1367.11"/>
    <n v="4.37"/>
    <x v="0"/>
    <x v="4"/>
  </r>
  <r>
    <x v="355"/>
    <d v="2026-05-27T11:45:00"/>
    <x v="0"/>
    <n v="1693.03"/>
    <n v="3.41"/>
    <x v="0"/>
    <x v="4"/>
  </r>
  <r>
    <x v="356"/>
    <d v="2026-05-27T11:45:00"/>
    <x v="2"/>
    <n v="0.0"/>
    <n v="4.33"/>
    <x v="1"/>
    <x v="4"/>
  </r>
  <r>
    <x v="357"/>
    <d v="2026-05-27T11:45:00"/>
    <x v="1"/>
    <n v="2473.65"/>
    <n v="3.48"/>
    <x v="0"/>
    <x v="4"/>
  </r>
  <r>
    <x v="358"/>
    <d v="2026-05-27T11:45:00"/>
    <x v="3"/>
    <n v="0.0"/>
    <n v="4.64"/>
    <x v="2"/>
    <x v="4"/>
  </r>
  <r>
    <x v="359"/>
    <d v="2026-05-27T11:45:00"/>
    <x v="3"/>
    <n v="2218.45"/>
    <n v="3.18"/>
    <x v="0"/>
    <x v="4"/>
  </r>
  <r>
    <x v="360"/>
    <d v="2026-05-27T11:45:00"/>
    <x v="2"/>
    <n v="1804.46"/>
    <n v="4.62"/>
    <x v="0"/>
    <x v="4"/>
  </r>
  <r>
    <x v="361"/>
    <d v="2026-05-27T11:45:00"/>
    <x v="0"/>
    <n v="1965.63"/>
    <m/>
    <x v="0"/>
    <x v="4"/>
  </r>
  <r>
    <x v="362"/>
    <d v="2026-05-27T11:45:00"/>
    <x v="0"/>
    <n v="1343.44"/>
    <n v="4.41"/>
    <x v="0"/>
    <x v="4"/>
  </r>
  <r>
    <x v="363"/>
    <d v="2026-05-27T11:45:00"/>
    <x v="2"/>
    <n v="0.0"/>
    <n v="4.19"/>
    <x v="1"/>
    <x v="4"/>
  </r>
  <r>
    <x v="364"/>
    <d v="2026-05-27T11:45:00"/>
    <x v="2"/>
    <n v="1311.43"/>
    <n v="4.02"/>
    <x v="0"/>
    <x v="4"/>
  </r>
  <r>
    <x v="365"/>
    <d v="2026-05-27T11:45:00"/>
    <x v="2"/>
    <n v="0.0"/>
    <n v="4.07"/>
    <x v="2"/>
    <x v="4"/>
  </r>
  <r>
    <x v="366"/>
    <d v="2026-05-27T11:45:00"/>
    <x v="3"/>
    <n v="0.0"/>
    <n v="4.64"/>
    <x v="2"/>
    <x v="4"/>
  </r>
  <r>
    <x v="367"/>
    <d v="2026-05-27T11:45:00"/>
    <x v="2"/>
    <n v="1575.69"/>
    <n v="4.6"/>
    <x v="0"/>
    <x v="4"/>
  </r>
  <r>
    <x v="368"/>
    <d v="2026-05-27T11:45:00"/>
    <x v="1"/>
    <n v="561.81"/>
    <n v="3.61"/>
    <x v="0"/>
    <x v="4"/>
  </r>
  <r>
    <x v="369"/>
    <d v="2026-05-27T11:45:00"/>
    <x v="0"/>
    <n v="0.0"/>
    <n v="3.21"/>
    <x v="1"/>
    <x v="4"/>
  </r>
  <r>
    <x v="370"/>
    <d v="2026-05-27T11:45:00"/>
    <x v="1"/>
    <n v="1562.95"/>
    <n v="4.05"/>
    <x v="0"/>
    <x v="4"/>
  </r>
  <r>
    <x v="371"/>
    <d v="2026-05-27T11:45:00"/>
    <x v="0"/>
    <n v="2394.98"/>
    <n v="3.28"/>
    <x v="0"/>
    <x v="4"/>
  </r>
  <r>
    <x v="372"/>
    <d v="2026-05-27T11:50:00"/>
    <x v="1"/>
    <n v="1162.39"/>
    <n v="4.7"/>
    <x v="0"/>
    <x v="5"/>
  </r>
  <r>
    <x v="373"/>
    <d v="2026-05-27T11:50:00"/>
    <x v="0"/>
    <n v="0.0"/>
    <n v="3.99"/>
    <x v="1"/>
    <x v="5"/>
  </r>
  <r>
    <x v="374"/>
    <d v="2026-05-27T11:50:00"/>
    <x v="0"/>
    <n v="1656.45"/>
    <n v="3.23"/>
    <x v="0"/>
    <x v="5"/>
  </r>
  <r>
    <x v="375"/>
    <d v="2026-05-27T11:50:00"/>
    <x v="0"/>
    <n v="1431.75"/>
    <n v="3.95"/>
    <x v="0"/>
    <x v="5"/>
  </r>
  <r>
    <x v="376"/>
    <d v="2026-05-27T11:50:00"/>
    <x v="0"/>
    <n v="0.0"/>
    <n v="3.44"/>
    <x v="1"/>
    <x v="5"/>
  </r>
  <r>
    <x v="377"/>
    <d v="2026-05-27T11:50:00"/>
    <x v="2"/>
    <n v="1606.27"/>
    <m/>
    <x v="0"/>
    <x v="5"/>
  </r>
  <r>
    <x v="378"/>
    <d v="2026-05-27T11:50:00"/>
    <x v="0"/>
    <n v="2362.12"/>
    <n v="3.8"/>
    <x v="0"/>
    <x v="5"/>
  </r>
  <r>
    <x v="379"/>
    <d v="2026-05-27T11:50:00"/>
    <x v="1"/>
    <n v="1167.8"/>
    <m/>
    <x v="0"/>
    <x v="5"/>
  </r>
  <r>
    <x v="380"/>
    <d v="2026-05-27T11:50:00"/>
    <x v="2"/>
    <n v="0.0"/>
    <n v="3.88"/>
    <x v="1"/>
    <x v="5"/>
  </r>
  <r>
    <x v="381"/>
    <d v="2026-05-27T11:50:00"/>
    <x v="0"/>
    <n v="1395.34"/>
    <n v="4.28"/>
    <x v="0"/>
    <x v="5"/>
  </r>
  <r>
    <x v="382"/>
    <d v="2026-05-27T11:50:00"/>
    <x v="2"/>
    <n v="1435.67"/>
    <n v="4.45"/>
    <x v="0"/>
    <x v="5"/>
  </r>
  <r>
    <x v="383"/>
    <d v="2026-05-27T11:50:00"/>
    <x v="0"/>
    <n v="757.96"/>
    <n v="4.17"/>
    <x v="0"/>
    <x v="5"/>
  </r>
  <r>
    <x v="384"/>
    <d v="2026-05-27T11:50:00"/>
    <x v="3"/>
    <n v="0.0"/>
    <n v="5.0"/>
    <x v="1"/>
    <x v="5"/>
  </r>
  <r>
    <x v="385"/>
    <d v="2026-05-27T11:50:00"/>
    <x v="0"/>
    <n v="1797.19"/>
    <n v="4.84"/>
    <x v="0"/>
    <x v="5"/>
  </r>
  <r>
    <x v="386"/>
    <d v="2026-05-27T11:50:00"/>
    <x v="1"/>
    <n v="2120.26"/>
    <n v="4.42"/>
    <x v="0"/>
    <x v="5"/>
  </r>
  <r>
    <x v="387"/>
    <d v="2026-05-27T11:50:00"/>
    <x v="0"/>
    <n v="2911.88"/>
    <n v="3.46"/>
    <x v="0"/>
    <x v="5"/>
  </r>
  <r>
    <x v="388"/>
    <d v="2026-05-27T11:50:00"/>
    <x v="3"/>
    <n v="1223.64"/>
    <n v="4.31"/>
    <x v="0"/>
    <x v="5"/>
  </r>
  <r>
    <x v="389"/>
    <d v="2026-05-27T11:50:00"/>
    <x v="0"/>
    <n v="2159.02"/>
    <n v="3.69"/>
    <x v="0"/>
    <x v="5"/>
  </r>
  <r>
    <x v="390"/>
    <d v="2026-05-27T11:50:00"/>
    <x v="1"/>
    <n v="706.95"/>
    <m/>
    <x v="0"/>
    <x v="5"/>
  </r>
  <r>
    <x v="391"/>
    <d v="2026-05-27T11:50:00"/>
    <x v="0"/>
    <n v="1432.01"/>
    <n v="3.99"/>
    <x v="0"/>
    <x v="5"/>
  </r>
  <r>
    <x v="392"/>
    <d v="2026-05-27T11:50:00"/>
    <x v="0"/>
    <n v="794.94"/>
    <n v="3.53"/>
    <x v="0"/>
    <x v="5"/>
  </r>
  <r>
    <x v="393"/>
    <d v="2026-05-27T11:50:00"/>
    <x v="0"/>
    <n v="1276.48"/>
    <n v="4.07"/>
    <x v="0"/>
    <x v="5"/>
  </r>
  <r>
    <x v="394"/>
    <d v="2026-05-27T11:50:00"/>
    <x v="1"/>
    <n v="552.18"/>
    <n v="4.16"/>
    <x v="0"/>
    <x v="5"/>
  </r>
  <r>
    <x v="395"/>
    <d v="2026-05-27T11:50:00"/>
    <x v="1"/>
    <n v="3991.99"/>
    <n v="4.31"/>
    <x v="0"/>
    <x v="5"/>
  </r>
  <r>
    <x v="396"/>
    <d v="2026-05-27T11:50:00"/>
    <x v="0"/>
    <n v="1609.54"/>
    <n v="3.15"/>
    <x v="0"/>
    <x v="5"/>
  </r>
  <r>
    <x v="397"/>
    <d v="2026-05-27T11:50:00"/>
    <x v="3"/>
    <n v="0.0"/>
    <n v="4.16"/>
    <x v="1"/>
    <x v="5"/>
  </r>
  <r>
    <x v="398"/>
    <d v="2026-05-27T11:50:00"/>
    <x v="1"/>
    <n v="3866.63"/>
    <n v="3.01"/>
    <x v="0"/>
    <x v="5"/>
  </r>
  <r>
    <x v="399"/>
    <d v="2026-05-27T11:50:00"/>
    <x v="2"/>
    <n v="1080.03"/>
    <n v="2.73"/>
    <x v="0"/>
    <x v="5"/>
  </r>
  <r>
    <x v="400"/>
    <d v="2026-05-27T11:50:00"/>
    <x v="1"/>
    <n v="1116.61"/>
    <n v="3.62"/>
    <x v="0"/>
    <x v="5"/>
  </r>
  <r>
    <x v="401"/>
    <d v="2026-05-27T11:50:00"/>
    <x v="2"/>
    <n v="1223.49"/>
    <n v="4.54"/>
    <x v="0"/>
    <x v="5"/>
  </r>
  <r>
    <x v="402"/>
    <d v="2026-05-27T11:50:00"/>
    <x v="0"/>
    <n v="852.06"/>
    <n v="5.0"/>
    <x v="0"/>
    <x v="5"/>
  </r>
  <r>
    <x v="403"/>
    <d v="2026-05-27T11:50:00"/>
    <x v="1"/>
    <n v="0.0"/>
    <n v="3.16"/>
    <x v="1"/>
    <x v="5"/>
  </r>
  <r>
    <x v="404"/>
    <d v="2026-05-27T11:50:00"/>
    <x v="2"/>
    <n v="0.0"/>
    <n v="3.99"/>
    <x v="2"/>
    <x v="5"/>
  </r>
  <r>
    <x v="405"/>
    <d v="2026-05-27T11:50:00"/>
    <x v="0"/>
    <n v="1400.77"/>
    <n v="3.92"/>
    <x v="0"/>
    <x v="5"/>
  </r>
  <r>
    <x v="406"/>
    <d v="2026-05-27T11:50:00"/>
    <x v="0"/>
    <n v="1327.31"/>
    <n v="3.28"/>
    <x v="0"/>
    <x v="5"/>
  </r>
  <r>
    <x v="407"/>
    <d v="2026-05-27T11:50:00"/>
    <x v="3"/>
    <n v="964.12"/>
    <n v="3.4"/>
    <x v="0"/>
    <x v="5"/>
  </r>
  <r>
    <x v="408"/>
    <d v="2026-05-27T11:50:00"/>
    <x v="3"/>
    <n v="922.53"/>
    <n v="4.08"/>
    <x v="0"/>
    <x v="5"/>
  </r>
  <r>
    <x v="409"/>
    <d v="2026-05-27T11:50:00"/>
    <x v="0"/>
    <n v="0.0"/>
    <n v="4.14"/>
    <x v="1"/>
    <x v="5"/>
  </r>
  <r>
    <x v="410"/>
    <d v="2026-05-27T11:50:00"/>
    <x v="3"/>
    <n v="727.05"/>
    <n v="3.59"/>
    <x v="0"/>
    <x v="5"/>
  </r>
  <r>
    <x v="411"/>
    <d v="2026-05-27T11:50:00"/>
    <x v="2"/>
    <n v="1162.99"/>
    <n v="4.85"/>
    <x v="0"/>
    <x v="5"/>
  </r>
  <r>
    <x v="412"/>
    <d v="2026-05-27T11:50:00"/>
    <x v="1"/>
    <n v="1669.71"/>
    <n v="4.57"/>
    <x v="0"/>
    <x v="5"/>
  </r>
  <r>
    <x v="413"/>
    <d v="2026-05-27T11:50:00"/>
    <x v="3"/>
    <n v="1124.45"/>
    <n v="3.9"/>
    <x v="0"/>
    <x v="5"/>
  </r>
  <r>
    <x v="414"/>
    <d v="2026-05-27T11:50:00"/>
    <x v="2"/>
    <n v="2034.28"/>
    <n v="4.05"/>
    <x v="0"/>
    <x v="5"/>
  </r>
  <r>
    <x v="415"/>
    <d v="2026-05-27T11:50:00"/>
    <x v="0"/>
    <n v="1545.87"/>
    <n v="4.52"/>
    <x v="0"/>
    <x v="5"/>
  </r>
  <r>
    <x v="416"/>
    <d v="2026-05-27T11:50:00"/>
    <x v="1"/>
    <n v="2714.87"/>
    <n v="3.03"/>
    <x v="0"/>
    <x v="5"/>
  </r>
  <r>
    <x v="417"/>
    <d v="2026-05-27T11:50:00"/>
    <x v="0"/>
    <n v="2569.1"/>
    <n v="4.18"/>
    <x v="0"/>
    <x v="5"/>
  </r>
  <r>
    <x v="418"/>
    <d v="2026-05-27T11:50:00"/>
    <x v="2"/>
    <n v="2169.03"/>
    <n v="3.5"/>
    <x v="0"/>
    <x v="5"/>
  </r>
  <r>
    <x v="419"/>
    <d v="2026-05-27T11:50:00"/>
    <x v="2"/>
    <n v="737.71"/>
    <n v="3.92"/>
    <x v="0"/>
    <x v="5"/>
  </r>
  <r>
    <x v="420"/>
    <d v="2026-05-27T11:50:00"/>
    <x v="0"/>
    <n v="0.0"/>
    <m/>
    <x v="1"/>
    <x v="5"/>
  </r>
  <r>
    <x v="421"/>
    <d v="2026-05-27T11:50:00"/>
    <x v="2"/>
    <n v="1754.36"/>
    <n v="4.1"/>
    <x v="0"/>
    <x v="5"/>
  </r>
  <r>
    <x v="422"/>
    <d v="2026-05-27T11:50:00"/>
    <x v="2"/>
    <n v="0.0"/>
    <n v="3.76"/>
    <x v="1"/>
    <x v="5"/>
  </r>
  <r>
    <x v="423"/>
    <d v="2026-05-27T11:50:00"/>
    <x v="2"/>
    <n v="697.74"/>
    <n v="4.25"/>
    <x v="0"/>
    <x v="5"/>
  </r>
  <r>
    <x v="424"/>
    <d v="2026-05-27T11:50:00"/>
    <x v="0"/>
    <n v="0.0"/>
    <n v="2.4"/>
    <x v="1"/>
    <x v="5"/>
  </r>
  <r>
    <x v="425"/>
    <d v="2026-05-27T11:50:00"/>
    <x v="0"/>
    <n v="2022.15"/>
    <n v="3.79"/>
    <x v="0"/>
    <x v="5"/>
  </r>
  <r>
    <x v="426"/>
    <d v="2026-05-27T11:50:00"/>
    <x v="1"/>
    <n v="686.78"/>
    <n v="4.32"/>
    <x v="0"/>
    <x v="5"/>
  </r>
  <r>
    <x v="427"/>
    <d v="2026-05-27T11:50:00"/>
    <x v="2"/>
    <n v="623.46"/>
    <n v="4.61"/>
    <x v="0"/>
    <x v="5"/>
  </r>
  <r>
    <x v="428"/>
    <d v="2026-05-27T11:50:00"/>
    <x v="2"/>
    <n v="1491.95"/>
    <m/>
    <x v="0"/>
    <x v="5"/>
  </r>
  <r>
    <x v="429"/>
    <d v="2026-05-27T11:50:00"/>
    <x v="3"/>
    <n v="899.19"/>
    <n v="4.32"/>
    <x v="0"/>
    <x v="5"/>
  </r>
  <r>
    <x v="430"/>
    <d v="2026-05-27T11:50:00"/>
    <x v="3"/>
    <n v="2847.59"/>
    <n v="3.43"/>
    <x v="0"/>
    <x v="5"/>
  </r>
  <r>
    <x v="431"/>
    <d v="2026-05-27T11:50:00"/>
    <x v="1"/>
    <n v="1237.32"/>
    <n v="4.23"/>
    <x v="0"/>
    <x v="5"/>
  </r>
  <r>
    <x v="432"/>
    <d v="2026-05-27T11:50:00"/>
    <x v="1"/>
    <n v="1369.08"/>
    <m/>
    <x v="0"/>
    <x v="5"/>
  </r>
  <r>
    <x v="433"/>
    <d v="2026-05-27T11:50:00"/>
    <x v="2"/>
    <n v="0.0"/>
    <n v="4.0"/>
    <x v="1"/>
    <x v="5"/>
  </r>
  <r>
    <x v="434"/>
    <d v="2026-05-27T11:50:00"/>
    <x v="2"/>
    <n v="0.0"/>
    <n v="4.06"/>
    <x v="1"/>
    <x v="5"/>
  </r>
  <r>
    <x v="435"/>
    <d v="2026-05-27T11:55:00"/>
    <x v="3"/>
    <n v="0.0"/>
    <n v="3.43"/>
    <x v="1"/>
    <x v="6"/>
  </r>
  <r>
    <x v="436"/>
    <d v="2026-05-27T11:55:00"/>
    <x v="2"/>
    <n v="2554.8"/>
    <n v="3.17"/>
    <x v="0"/>
    <x v="6"/>
  </r>
  <r>
    <x v="437"/>
    <d v="2026-05-27T11:55:00"/>
    <x v="2"/>
    <n v="1460.1"/>
    <n v="4.48"/>
    <x v="0"/>
    <x v="6"/>
  </r>
  <r>
    <x v="438"/>
    <d v="2026-05-27T11:55:00"/>
    <x v="0"/>
    <n v="0.0"/>
    <n v="4.12"/>
    <x v="1"/>
    <x v="6"/>
  </r>
  <r>
    <x v="439"/>
    <d v="2026-05-27T11:55:00"/>
    <x v="3"/>
    <n v="1686.0"/>
    <n v="4.33"/>
    <x v="0"/>
    <x v="6"/>
  </r>
  <r>
    <x v="440"/>
    <d v="2026-05-27T11:55:00"/>
    <x v="0"/>
    <n v="1331.84"/>
    <n v="3.05"/>
    <x v="0"/>
    <x v="6"/>
  </r>
  <r>
    <x v="441"/>
    <d v="2026-05-27T11:55:00"/>
    <x v="1"/>
    <n v="0.0"/>
    <n v="4.75"/>
    <x v="2"/>
    <x v="6"/>
  </r>
  <r>
    <x v="442"/>
    <d v="2026-05-27T11:55:00"/>
    <x v="0"/>
    <n v="3087.13"/>
    <n v="4.04"/>
    <x v="0"/>
    <x v="6"/>
  </r>
  <r>
    <x v="443"/>
    <d v="2026-05-27T11:55:00"/>
    <x v="3"/>
    <n v="0.0"/>
    <n v="4.51"/>
    <x v="1"/>
    <x v="6"/>
  </r>
  <r>
    <x v="444"/>
    <d v="2026-05-27T11:55:00"/>
    <x v="2"/>
    <n v="0.0"/>
    <n v="3.75"/>
    <x v="2"/>
    <x v="6"/>
  </r>
  <r>
    <x v="445"/>
    <d v="2026-05-27T11:55:00"/>
    <x v="2"/>
    <n v="1062.1"/>
    <n v="3.46"/>
    <x v="0"/>
    <x v="6"/>
  </r>
  <r>
    <x v="446"/>
    <d v="2026-05-27T11:55:00"/>
    <x v="2"/>
    <n v="986.09"/>
    <n v="4.1"/>
    <x v="0"/>
    <x v="6"/>
  </r>
  <r>
    <x v="447"/>
    <d v="2026-05-27T11:55:00"/>
    <x v="2"/>
    <n v="1058.72"/>
    <n v="3.72"/>
    <x v="0"/>
    <x v="6"/>
  </r>
  <r>
    <x v="448"/>
    <d v="2026-05-27T11:55:00"/>
    <x v="3"/>
    <n v="2550.71"/>
    <n v="3.45"/>
    <x v="0"/>
    <x v="6"/>
  </r>
  <r>
    <x v="449"/>
    <d v="2026-05-27T11:55:00"/>
    <x v="3"/>
    <n v="0.0"/>
    <n v="3.74"/>
    <x v="1"/>
    <x v="6"/>
  </r>
  <r>
    <x v="450"/>
    <d v="2026-05-27T11:55:00"/>
    <x v="1"/>
    <n v="541.71"/>
    <n v="3.13"/>
    <x v="0"/>
    <x v="6"/>
  </r>
  <r>
    <x v="451"/>
    <d v="2026-05-27T11:55:00"/>
    <x v="0"/>
    <n v="1084.1"/>
    <n v="3.88"/>
    <x v="0"/>
    <x v="6"/>
  </r>
  <r>
    <x v="452"/>
    <d v="2026-05-27T11:55:00"/>
    <x v="3"/>
    <n v="0.0"/>
    <n v="4.17"/>
    <x v="1"/>
    <x v="6"/>
  </r>
  <r>
    <x v="453"/>
    <d v="2026-05-27T11:55:00"/>
    <x v="2"/>
    <n v="0.0"/>
    <n v="3.3"/>
    <x v="1"/>
    <x v="6"/>
  </r>
  <r>
    <x v="454"/>
    <d v="2026-05-27T11:55:00"/>
    <x v="1"/>
    <n v="1345.72"/>
    <n v="4.5"/>
    <x v="0"/>
    <x v="6"/>
  </r>
  <r>
    <x v="455"/>
    <d v="2026-05-27T11:55:00"/>
    <x v="3"/>
    <n v="504.19"/>
    <n v="4.33"/>
    <x v="0"/>
    <x v="6"/>
  </r>
  <r>
    <x v="456"/>
    <d v="2026-05-27T11:55:00"/>
    <x v="3"/>
    <n v="0.0"/>
    <n v="4.52"/>
    <x v="1"/>
    <x v="6"/>
  </r>
  <r>
    <x v="457"/>
    <d v="2026-05-27T11:55:00"/>
    <x v="2"/>
    <n v="2963.55"/>
    <n v="4.02"/>
    <x v="0"/>
    <x v="6"/>
  </r>
  <r>
    <x v="458"/>
    <d v="2026-05-27T11:55:00"/>
    <x v="0"/>
    <n v="0.0"/>
    <n v="4.28"/>
    <x v="1"/>
    <x v="6"/>
  </r>
  <r>
    <x v="459"/>
    <d v="2026-05-27T11:55:00"/>
    <x v="1"/>
    <n v="0.0"/>
    <n v="4.21"/>
    <x v="2"/>
    <x v="6"/>
  </r>
  <r>
    <x v="460"/>
    <d v="2026-05-27T11:55:00"/>
    <x v="0"/>
    <n v="1795.04"/>
    <n v="4.74"/>
    <x v="0"/>
    <x v="6"/>
  </r>
  <r>
    <x v="461"/>
    <d v="2026-05-27T11:55:00"/>
    <x v="1"/>
    <n v="1582.24"/>
    <n v="4.19"/>
    <x v="0"/>
    <x v="6"/>
  </r>
  <r>
    <x v="462"/>
    <d v="2026-05-27T11:55:00"/>
    <x v="2"/>
    <n v="0.0"/>
    <n v="4.07"/>
    <x v="1"/>
    <x v="6"/>
  </r>
  <r>
    <x v="463"/>
    <d v="2026-05-27T11:55:00"/>
    <x v="2"/>
    <n v="1549.13"/>
    <n v="3.57"/>
    <x v="0"/>
    <x v="6"/>
  </r>
  <r>
    <x v="464"/>
    <d v="2026-05-27T11:55:00"/>
    <x v="0"/>
    <n v="0.0"/>
    <n v="3.68"/>
    <x v="1"/>
    <x v="6"/>
  </r>
  <r>
    <x v="465"/>
    <d v="2026-05-27T11:55:00"/>
    <x v="2"/>
    <n v="1218.57"/>
    <n v="4.63"/>
    <x v="0"/>
    <x v="6"/>
  </r>
  <r>
    <x v="466"/>
    <d v="2026-05-27T11:55:00"/>
    <x v="2"/>
    <n v="1863.03"/>
    <n v="3.54"/>
    <x v="0"/>
    <x v="6"/>
  </r>
  <r>
    <x v="467"/>
    <d v="2026-05-27T11:55:00"/>
    <x v="2"/>
    <n v="769.79"/>
    <n v="3.8"/>
    <x v="0"/>
    <x v="6"/>
  </r>
  <r>
    <x v="468"/>
    <d v="2026-05-27T11:55:00"/>
    <x v="0"/>
    <n v="1910.45"/>
    <n v="4.24"/>
    <x v="0"/>
    <x v="6"/>
  </r>
  <r>
    <x v="469"/>
    <d v="2026-05-27T11:55:00"/>
    <x v="3"/>
    <n v="0.0"/>
    <n v="4.41"/>
    <x v="2"/>
    <x v="6"/>
  </r>
  <r>
    <x v="470"/>
    <d v="2026-05-27T11:55:00"/>
    <x v="1"/>
    <n v="2519.59"/>
    <n v="3.78"/>
    <x v="0"/>
    <x v="6"/>
  </r>
  <r>
    <x v="471"/>
    <d v="2026-05-27T11:55:00"/>
    <x v="3"/>
    <n v="1837.88"/>
    <n v="4.7"/>
    <x v="0"/>
    <x v="6"/>
  </r>
  <r>
    <x v="472"/>
    <d v="2026-05-27T11:55:00"/>
    <x v="2"/>
    <n v="1970.71"/>
    <n v="4.17"/>
    <x v="0"/>
    <x v="6"/>
  </r>
  <r>
    <x v="473"/>
    <d v="2026-05-27T11:55:00"/>
    <x v="2"/>
    <n v="0.0"/>
    <m/>
    <x v="1"/>
    <x v="6"/>
  </r>
  <r>
    <x v="474"/>
    <d v="2026-05-27T11:55:00"/>
    <x v="0"/>
    <n v="3067.29"/>
    <m/>
    <x v="0"/>
    <x v="6"/>
  </r>
  <r>
    <x v="475"/>
    <d v="2026-05-27T11:55:00"/>
    <x v="3"/>
    <n v="0.0"/>
    <n v="4.26"/>
    <x v="1"/>
    <x v="6"/>
  </r>
  <r>
    <x v="476"/>
    <d v="2026-05-27T11:55:00"/>
    <x v="0"/>
    <n v="0.0"/>
    <n v="4.16"/>
    <x v="1"/>
    <x v="6"/>
  </r>
  <r>
    <x v="477"/>
    <d v="2026-05-27T11:55:00"/>
    <x v="1"/>
    <n v="0.0"/>
    <n v="3.4"/>
    <x v="1"/>
    <x v="6"/>
  </r>
  <r>
    <x v="478"/>
    <d v="2026-05-27T11:55:00"/>
    <x v="3"/>
    <n v="723.06"/>
    <m/>
    <x v="0"/>
    <x v="6"/>
  </r>
  <r>
    <x v="479"/>
    <d v="2026-05-27T11:55:00"/>
    <x v="2"/>
    <n v="0.0"/>
    <n v="3.84"/>
    <x v="1"/>
    <x v="6"/>
  </r>
  <r>
    <x v="480"/>
    <d v="2026-05-27T11:55:00"/>
    <x v="2"/>
    <n v="1412.61"/>
    <n v="4.16"/>
    <x v="0"/>
    <x v="6"/>
  </r>
  <r>
    <x v="481"/>
    <d v="2026-05-27T11:55:00"/>
    <x v="2"/>
    <n v="857.01"/>
    <n v="3.35"/>
    <x v="0"/>
    <x v="6"/>
  </r>
  <r>
    <x v="482"/>
    <d v="2026-05-27T11:55:00"/>
    <x v="2"/>
    <n v="716.16"/>
    <n v="4.39"/>
    <x v="0"/>
    <x v="6"/>
  </r>
  <r>
    <x v="483"/>
    <d v="2026-05-27T11:55:00"/>
    <x v="1"/>
    <n v="951.47"/>
    <n v="3.06"/>
    <x v="0"/>
    <x v="6"/>
  </r>
  <r>
    <x v="484"/>
    <d v="2026-05-27T11:55:00"/>
    <x v="2"/>
    <n v="3846.08"/>
    <n v="4.15"/>
    <x v="0"/>
    <x v="6"/>
  </r>
  <r>
    <x v="485"/>
    <d v="2026-05-27T11:55:00"/>
    <x v="0"/>
    <n v="688.86"/>
    <m/>
    <x v="0"/>
    <x v="6"/>
  </r>
  <r>
    <x v="486"/>
    <d v="2026-05-27T11:55:00"/>
    <x v="1"/>
    <n v="0.0"/>
    <n v="4.22"/>
    <x v="1"/>
    <x v="6"/>
  </r>
  <r>
    <x v="487"/>
    <d v="2026-05-27T11:55:00"/>
    <x v="2"/>
    <n v="825.67"/>
    <n v="4.0"/>
    <x v="0"/>
    <x v="6"/>
  </r>
  <r>
    <x v="488"/>
    <d v="2026-05-27T11:55:00"/>
    <x v="3"/>
    <n v="2219.61"/>
    <n v="4.16"/>
    <x v="0"/>
    <x v="6"/>
  </r>
  <r>
    <x v="489"/>
    <d v="2026-05-27T11:55:00"/>
    <x v="3"/>
    <n v="1389.13"/>
    <n v="3.83"/>
    <x v="0"/>
    <x v="6"/>
  </r>
  <r>
    <x v="490"/>
    <d v="2026-05-27T11:55:00"/>
    <x v="0"/>
    <n v="0.0"/>
    <n v="3.64"/>
    <x v="1"/>
    <x v="6"/>
  </r>
  <r>
    <x v="491"/>
    <d v="2026-05-27T11:55:00"/>
    <x v="3"/>
    <n v="896.53"/>
    <n v="3.51"/>
    <x v="0"/>
    <x v="6"/>
  </r>
  <r>
    <x v="492"/>
    <d v="2026-05-27T11:55:00"/>
    <x v="0"/>
    <n v="982.47"/>
    <n v="4.33"/>
    <x v="0"/>
    <x v="6"/>
  </r>
  <r>
    <x v="493"/>
    <d v="2026-05-27T11:55:00"/>
    <x v="2"/>
    <n v="1091.17"/>
    <n v="4.85"/>
    <x v="0"/>
    <x v="6"/>
  </r>
  <r>
    <x v="494"/>
    <d v="2026-05-27T11:55:00"/>
    <x v="3"/>
    <n v="1728.26"/>
    <n v="4.38"/>
    <x v="0"/>
    <x v="6"/>
  </r>
  <r>
    <x v="495"/>
    <d v="2026-05-27T11:55:00"/>
    <x v="1"/>
    <n v="0.0"/>
    <n v="4.07"/>
    <x v="1"/>
    <x v="6"/>
  </r>
  <r>
    <x v="496"/>
    <d v="2026-05-27T11:55:00"/>
    <x v="2"/>
    <n v="1680.27"/>
    <n v="3.87"/>
    <x v="0"/>
    <x v="6"/>
  </r>
  <r>
    <x v="497"/>
    <d v="2026-05-27T11:55:00"/>
    <x v="0"/>
    <n v="0.0"/>
    <n v="4.18"/>
    <x v="1"/>
    <x v="6"/>
  </r>
  <r>
    <x v="498"/>
    <d v="2026-05-27T11:55:00"/>
    <x v="0"/>
    <n v="1166.09"/>
    <n v="4.71"/>
    <x v="0"/>
    <x v="6"/>
  </r>
  <r>
    <x v="499"/>
    <d v="2026-05-27T11:55:00"/>
    <x v="1"/>
    <n v="1698.72"/>
    <n v="3.91"/>
    <x v="0"/>
    <x v="6"/>
  </r>
  <r>
    <x v="500"/>
    <d v="2026-05-27T11:55:00"/>
    <x v="2"/>
    <n v="0.0"/>
    <n v="3.52"/>
    <x v="2"/>
    <x v="6"/>
  </r>
  <r>
    <x v="501"/>
    <d v="2026-05-27T11:55:00"/>
    <x v="0"/>
    <n v="901.58"/>
    <m/>
    <x v="0"/>
    <x v="6"/>
  </r>
  <r>
    <x v="502"/>
    <d v="2026-05-27T11:55:00"/>
    <x v="3"/>
    <n v="1577.68"/>
    <n v="3.88"/>
    <x v="0"/>
    <x v="6"/>
  </r>
  <r>
    <x v="503"/>
    <d v="2026-05-27T11:55:00"/>
    <x v="3"/>
    <n v="1709.06"/>
    <n v="3.83"/>
    <x v="0"/>
    <x v="6"/>
  </r>
  <r>
    <x v="504"/>
    <d v="2026-05-27T11:55:00"/>
    <x v="3"/>
    <n v="0.0"/>
    <n v="3.22"/>
    <x v="2"/>
    <x v="6"/>
  </r>
  <r>
    <x v="505"/>
    <d v="2026-05-27T11:55:00"/>
    <x v="0"/>
    <n v="0.0"/>
    <n v="3.89"/>
    <x v="1"/>
    <x v="6"/>
  </r>
  <r>
    <x v="506"/>
    <d v="2026-05-27T11:55:00"/>
    <x v="1"/>
    <n v="501.71"/>
    <n v="3.47"/>
    <x v="0"/>
    <x v="6"/>
  </r>
  <r>
    <x v="507"/>
    <d v="2026-05-27T11:55:00"/>
    <x v="1"/>
    <n v="1177.98"/>
    <n v="3.94"/>
    <x v="0"/>
    <x v="6"/>
  </r>
  <r>
    <x v="508"/>
    <d v="2026-05-27T12:00:00"/>
    <x v="0"/>
    <n v="1744.68"/>
    <n v="4.71"/>
    <x v="0"/>
    <x v="7"/>
  </r>
  <r>
    <x v="509"/>
    <d v="2026-05-27T12:00:00"/>
    <x v="0"/>
    <n v="914.6"/>
    <n v="3.66"/>
    <x v="0"/>
    <x v="7"/>
  </r>
  <r>
    <x v="510"/>
    <d v="2026-05-27T12:00:00"/>
    <x v="0"/>
    <n v="712.32"/>
    <m/>
    <x v="0"/>
    <x v="7"/>
  </r>
  <r>
    <x v="511"/>
    <d v="2026-05-27T12:00:00"/>
    <x v="1"/>
    <n v="0.0"/>
    <n v="3.43"/>
    <x v="2"/>
    <x v="7"/>
  </r>
  <r>
    <x v="512"/>
    <d v="2026-05-27T12:00:00"/>
    <x v="2"/>
    <n v="1727.62"/>
    <n v="3.91"/>
    <x v="0"/>
    <x v="7"/>
  </r>
  <r>
    <x v="513"/>
    <d v="2026-05-27T12:00:00"/>
    <x v="0"/>
    <n v="1471.28"/>
    <n v="4.93"/>
    <x v="0"/>
    <x v="7"/>
  </r>
  <r>
    <x v="514"/>
    <d v="2026-05-27T12:00:00"/>
    <x v="2"/>
    <n v="0.0"/>
    <n v="3.73"/>
    <x v="2"/>
    <x v="7"/>
  </r>
  <r>
    <x v="515"/>
    <d v="2026-05-27T12:00:00"/>
    <x v="2"/>
    <n v="2233.55"/>
    <n v="4.86"/>
    <x v="0"/>
    <x v="7"/>
  </r>
  <r>
    <x v="516"/>
    <d v="2026-05-27T12:00:00"/>
    <x v="2"/>
    <n v="1495.95"/>
    <n v="3.83"/>
    <x v="0"/>
    <x v="7"/>
  </r>
  <r>
    <x v="517"/>
    <d v="2026-05-27T12:00:00"/>
    <x v="2"/>
    <n v="0.0"/>
    <n v="4.51"/>
    <x v="2"/>
    <x v="7"/>
  </r>
  <r>
    <x v="518"/>
    <d v="2026-05-27T12:00:00"/>
    <x v="2"/>
    <n v="0.0"/>
    <n v="4.42"/>
    <x v="1"/>
    <x v="7"/>
  </r>
  <r>
    <x v="519"/>
    <d v="2026-05-27T12:00:00"/>
    <x v="0"/>
    <n v="1732.17"/>
    <n v="4.61"/>
    <x v="0"/>
    <x v="7"/>
  </r>
  <r>
    <x v="520"/>
    <d v="2026-05-27T12:00:00"/>
    <x v="2"/>
    <n v="1880.71"/>
    <n v="3.59"/>
    <x v="0"/>
    <x v="7"/>
  </r>
  <r>
    <x v="521"/>
    <d v="2026-05-27T12:00:00"/>
    <x v="1"/>
    <n v="750.68"/>
    <n v="4.0"/>
    <x v="0"/>
    <x v="7"/>
  </r>
  <r>
    <x v="522"/>
    <d v="2026-05-27T12:00:00"/>
    <x v="3"/>
    <n v="3156.51"/>
    <n v="4.01"/>
    <x v="0"/>
    <x v="7"/>
  </r>
  <r>
    <x v="523"/>
    <d v="2026-05-27T12:00:00"/>
    <x v="3"/>
    <n v="0.0"/>
    <n v="4.19"/>
    <x v="1"/>
    <x v="7"/>
  </r>
  <r>
    <x v="524"/>
    <d v="2026-05-27T12:00:00"/>
    <x v="3"/>
    <n v="1358.79"/>
    <n v="4.15"/>
    <x v="0"/>
    <x v="7"/>
  </r>
  <r>
    <x v="525"/>
    <d v="2026-05-27T12:00:00"/>
    <x v="2"/>
    <n v="0.0"/>
    <n v="4.28"/>
    <x v="2"/>
    <x v="7"/>
  </r>
  <r>
    <x v="526"/>
    <d v="2026-05-27T12:00:00"/>
    <x v="1"/>
    <n v="1337.21"/>
    <n v="3.09"/>
    <x v="0"/>
    <x v="7"/>
  </r>
  <r>
    <x v="527"/>
    <d v="2026-05-27T12:00:00"/>
    <x v="0"/>
    <n v="0.0"/>
    <m/>
    <x v="1"/>
    <x v="7"/>
  </r>
  <r>
    <x v="528"/>
    <d v="2026-05-27T12:00:00"/>
    <x v="1"/>
    <n v="0.0"/>
    <n v="4.04"/>
    <x v="2"/>
    <x v="7"/>
  </r>
  <r>
    <x v="529"/>
    <d v="2026-05-27T12:00:00"/>
    <x v="3"/>
    <n v="1142.49"/>
    <n v="3.95"/>
    <x v="0"/>
    <x v="7"/>
  </r>
  <r>
    <x v="530"/>
    <d v="2026-05-27T12:00:00"/>
    <x v="3"/>
    <n v="876.81"/>
    <n v="4.04"/>
    <x v="0"/>
    <x v="7"/>
  </r>
  <r>
    <x v="531"/>
    <d v="2026-05-27T12:00:00"/>
    <x v="1"/>
    <n v="1720.77"/>
    <m/>
    <x v="0"/>
    <x v="7"/>
  </r>
  <r>
    <x v="532"/>
    <d v="2026-05-27T12:00:00"/>
    <x v="1"/>
    <n v="0.0"/>
    <n v="5.0"/>
    <x v="1"/>
    <x v="7"/>
  </r>
  <r>
    <x v="533"/>
    <d v="2026-05-27T12:00:00"/>
    <x v="2"/>
    <n v="1806.26"/>
    <n v="3.58"/>
    <x v="0"/>
    <x v="7"/>
  </r>
  <r>
    <x v="534"/>
    <d v="2026-05-27T12:00:00"/>
    <x v="3"/>
    <n v="747.15"/>
    <n v="4.25"/>
    <x v="0"/>
    <x v="7"/>
  </r>
  <r>
    <x v="535"/>
    <d v="2026-05-27T12:00:00"/>
    <x v="0"/>
    <n v="1400.46"/>
    <n v="4.4"/>
    <x v="0"/>
    <x v="7"/>
  </r>
  <r>
    <x v="536"/>
    <d v="2026-05-27T12:00:00"/>
    <x v="0"/>
    <n v="1663.97"/>
    <n v="3.43"/>
    <x v="0"/>
    <x v="7"/>
  </r>
  <r>
    <x v="537"/>
    <d v="2026-05-27T12:00:00"/>
    <x v="3"/>
    <n v="1022.04"/>
    <n v="3.47"/>
    <x v="0"/>
    <x v="7"/>
  </r>
  <r>
    <x v="538"/>
    <d v="2026-05-27T12:00:00"/>
    <x v="3"/>
    <n v="955.86"/>
    <n v="3.93"/>
    <x v="0"/>
    <x v="7"/>
  </r>
  <r>
    <x v="539"/>
    <d v="2026-05-27T12:00:00"/>
    <x v="2"/>
    <n v="1491.32"/>
    <n v="4.62"/>
    <x v="0"/>
    <x v="7"/>
  </r>
  <r>
    <x v="540"/>
    <d v="2026-05-27T12:00:00"/>
    <x v="0"/>
    <n v="0.0"/>
    <n v="4.24"/>
    <x v="2"/>
    <x v="7"/>
  </r>
  <r>
    <x v="541"/>
    <d v="2026-05-27T12:00:00"/>
    <x v="3"/>
    <n v="0.0"/>
    <m/>
    <x v="2"/>
    <x v="7"/>
  </r>
  <r>
    <x v="542"/>
    <d v="2026-05-27T12:00:00"/>
    <x v="1"/>
    <n v="1046.46"/>
    <n v="3.93"/>
    <x v="0"/>
    <x v="7"/>
  </r>
  <r>
    <x v="543"/>
    <d v="2026-05-27T12:00:00"/>
    <x v="0"/>
    <n v="1774.36"/>
    <n v="4.2"/>
    <x v="0"/>
    <x v="7"/>
  </r>
  <r>
    <x v="544"/>
    <d v="2026-05-27T12:00:00"/>
    <x v="1"/>
    <n v="1019.37"/>
    <n v="3.57"/>
    <x v="0"/>
    <x v="7"/>
  </r>
  <r>
    <x v="545"/>
    <d v="2026-05-27T12:00:00"/>
    <x v="2"/>
    <n v="1498.18"/>
    <n v="3.76"/>
    <x v="0"/>
    <x v="7"/>
  </r>
  <r>
    <x v="546"/>
    <d v="2026-05-27T12:00:00"/>
    <x v="0"/>
    <n v="0.0"/>
    <n v="4.26"/>
    <x v="1"/>
    <x v="7"/>
  </r>
  <r>
    <x v="547"/>
    <d v="2026-05-27T12:00:00"/>
    <x v="0"/>
    <n v="1397.0"/>
    <n v="3.73"/>
    <x v="0"/>
    <x v="7"/>
  </r>
  <r>
    <x v="548"/>
    <d v="2026-05-27T12:00:00"/>
    <x v="3"/>
    <n v="1492.25"/>
    <n v="4.47"/>
    <x v="0"/>
    <x v="7"/>
  </r>
  <r>
    <x v="549"/>
    <d v="2026-05-27T12:00:00"/>
    <x v="0"/>
    <n v="2382.13"/>
    <n v="4.05"/>
    <x v="0"/>
    <x v="7"/>
  </r>
  <r>
    <x v="550"/>
    <d v="2026-05-27T12:00:00"/>
    <x v="1"/>
    <n v="738.04"/>
    <n v="4.37"/>
    <x v="0"/>
    <x v="7"/>
  </r>
  <r>
    <x v="551"/>
    <d v="2026-05-27T12:00:00"/>
    <x v="2"/>
    <n v="1351.36"/>
    <n v="4.3"/>
    <x v="0"/>
    <x v="7"/>
  </r>
  <r>
    <x v="552"/>
    <d v="2026-05-27T12:00:00"/>
    <x v="3"/>
    <n v="0.0"/>
    <n v="3.59"/>
    <x v="1"/>
    <x v="7"/>
  </r>
  <r>
    <x v="553"/>
    <d v="2026-05-27T12:00:00"/>
    <x v="3"/>
    <n v="0.0"/>
    <n v="4.97"/>
    <x v="1"/>
    <x v="7"/>
  </r>
  <r>
    <x v="554"/>
    <d v="2026-05-27T12:00:00"/>
    <x v="0"/>
    <n v="0.0"/>
    <n v="4.27"/>
    <x v="1"/>
    <x v="7"/>
  </r>
  <r>
    <x v="555"/>
    <d v="2026-05-27T12:00:00"/>
    <x v="2"/>
    <n v="778.91"/>
    <n v="4.57"/>
    <x v="0"/>
    <x v="7"/>
  </r>
  <r>
    <x v="556"/>
    <d v="2026-05-27T12:00:00"/>
    <x v="3"/>
    <n v="0.0"/>
    <n v="4.52"/>
    <x v="1"/>
    <x v="7"/>
  </r>
  <r>
    <x v="557"/>
    <d v="2026-05-27T12:00:00"/>
    <x v="0"/>
    <n v="976.2"/>
    <m/>
    <x v="0"/>
    <x v="7"/>
  </r>
  <r>
    <x v="558"/>
    <d v="2026-05-27T12:00:00"/>
    <x v="0"/>
    <n v="0.0"/>
    <n v="3.94"/>
    <x v="1"/>
    <x v="7"/>
  </r>
  <r>
    <x v="559"/>
    <d v="2026-05-27T12:00:00"/>
    <x v="3"/>
    <n v="0.0"/>
    <n v="3.72"/>
    <x v="2"/>
    <x v="7"/>
  </r>
  <r>
    <x v="560"/>
    <d v="2026-05-27T12:00:00"/>
    <x v="2"/>
    <n v="0.0"/>
    <n v="4.63"/>
    <x v="2"/>
    <x v="7"/>
  </r>
  <r>
    <x v="561"/>
    <d v="2026-05-27T12:00:00"/>
    <x v="1"/>
    <n v="482.95"/>
    <m/>
    <x v="0"/>
    <x v="7"/>
  </r>
  <r>
    <x v="562"/>
    <d v="2026-05-27T12:00:00"/>
    <x v="2"/>
    <n v="0.0"/>
    <n v="4.91"/>
    <x v="1"/>
    <x v="7"/>
  </r>
  <r>
    <x v="563"/>
    <d v="2026-05-27T12:00:00"/>
    <x v="0"/>
    <n v="0.0"/>
    <n v="4.58"/>
    <x v="1"/>
    <x v="7"/>
  </r>
  <r>
    <x v="564"/>
    <d v="2026-05-27T12:00:00"/>
    <x v="0"/>
    <n v="0.0"/>
    <n v="4.71"/>
    <x v="2"/>
    <x v="7"/>
  </r>
  <r>
    <x v="565"/>
    <d v="2026-05-27T12:00:00"/>
    <x v="3"/>
    <n v="1930.35"/>
    <n v="4.6"/>
    <x v="0"/>
    <x v="7"/>
  </r>
  <r>
    <x v="566"/>
    <d v="2026-05-27T12:00:00"/>
    <x v="0"/>
    <n v="963.09"/>
    <m/>
    <x v="0"/>
    <x v="7"/>
  </r>
  <r>
    <x v="567"/>
    <d v="2026-05-27T12:00:00"/>
    <x v="2"/>
    <n v="0.0"/>
    <n v="3.75"/>
    <x v="1"/>
    <x v="7"/>
  </r>
  <r>
    <x v="568"/>
    <d v="2026-05-27T12:00:00"/>
    <x v="1"/>
    <n v="0.0"/>
    <n v="3.78"/>
    <x v="1"/>
    <x v="7"/>
  </r>
  <r>
    <x v="569"/>
    <d v="2026-05-27T12:00:00"/>
    <x v="3"/>
    <n v="1174.97"/>
    <n v="4.54"/>
    <x v="0"/>
    <x v="7"/>
  </r>
  <r>
    <x v="570"/>
    <d v="2026-05-27T12:00:00"/>
    <x v="2"/>
    <n v="0.0"/>
    <n v="3.32"/>
    <x v="1"/>
    <x v="7"/>
  </r>
  <r>
    <x v="571"/>
    <d v="2026-05-27T12:00:00"/>
    <x v="1"/>
    <n v="0.0"/>
    <m/>
    <x v="1"/>
    <x v="7"/>
  </r>
  <r>
    <x v="572"/>
    <d v="2026-05-27T12:05:00"/>
    <x v="1"/>
    <n v="897.0"/>
    <n v="5.0"/>
    <x v="0"/>
    <x v="8"/>
  </r>
  <r>
    <x v="573"/>
    <d v="2026-05-27T12:05:00"/>
    <x v="1"/>
    <n v="0.0"/>
    <n v="4.64"/>
    <x v="1"/>
    <x v="8"/>
  </r>
  <r>
    <x v="574"/>
    <d v="2026-05-27T12:05:00"/>
    <x v="3"/>
    <n v="1194.14"/>
    <n v="3.4"/>
    <x v="0"/>
    <x v="8"/>
  </r>
  <r>
    <x v="575"/>
    <d v="2026-05-27T12:05:00"/>
    <x v="3"/>
    <n v="0.0"/>
    <n v="4.93"/>
    <x v="1"/>
    <x v="8"/>
  </r>
  <r>
    <x v="576"/>
    <d v="2026-05-27T12:05:00"/>
    <x v="0"/>
    <n v="0.0"/>
    <n v="4.34"/>
    <x v="1"/>
    <x v="8"/>
  </r>
  <r>
    <x v="577"/>
    <d v="2026-05-27T12:05:00"/>
    <x v="0"/>
    <n v="0.0"/>
    <n v="4.24"/>
    <x v="1"/>
    <x v="8"/>
  </r>
  <r>
    <x v="578"/>
    <d v="2026-05-27T12:05:00"/>
    <x v="3"/>
    <n v="2779.46"/>
    <n v="4.41"/>
    <x v="0"/>
    <x v="8"/>
  </r>
  <r>
    <x v="579"/>
    <d v="2026-05-27T12:05:00"/>
    <x v="0"/>
    <n v="2587.44"/>
    <n v="3.75"/>
    <x v="0"/>
    <x v="8"/>
  </r>
  <r>
    <x v="580"/>
    <d v="2026-05-27T12:05:00"/>
    <x v="2"/>
    <n v="1530.81"/>
    <n v="4.36"/>
    <x v="0"/>
    <x v="8"/>
  </r>
  <r>
    <x v="581"/>
    <d v="2026-05-27T12:05:00"/>
    <x v="3"/>
    <n v="1363.02"/>
    <n v="4.25"/>
    <x v="0"/>
    <x v="8"/>
  </r>
  <r>
    <x v="582"/>
    <d v="2026-05-27T12:05:00"/>
    <x v="1"/>
    <n v="469.23"/>
    <n v="4.0"/>
    <x v="0"/>
    <x v="8"/>
  </r>
  <r>
    <x v="583"/>
    <d v="2026-05-27T12:05:00"/>
    <x v="0"/>
    <n v="1038.65"/>
    <n v="3.72"/>
    <x v="0"/>
    <x v="8"/>
  </r>
  <r>
    <x v="584"/>
    <d v="2026-05-27T12:05:00"/>
    <x v="0"/>
    <n v="609.24"/>
    <n v="3.17"/>
    <x v="0"/>
    <x v="8"/>
  </r>
  <r>
    <x v="585"/>
    <d v="2026-05-27T12:05:00"/>
    <x v="2"/>
    <n v="0.0"/>
    <m/>
    <x v="1"/>
    <x v="8"/>
  </r>
  <r>
    <x v="586"/>
    <d v="2026-05-27T12:05:00"/>
    <x v="1"/>
    <n v="2980.2"/>
    <n v="3.93"/>
    <x v="0"/>
    <x v="8"/>
  </r>
  <r>
    <x v="587"/>
    <d v="2026-05-27T12:05:00"/>
    <x v="2"/>
    <n v="1681.67"/>
    <n v="4.28"/>
    <x v="0"/>
    <x v="8"/>
  </r>
  <r>
    <x v="588"/>
    <d v="2026-05-27T12:05:00"/>
    <x v="3"/>
    <n v="3644.62"/>
    <n v="3.8"/>
    <x v="0"/>
    <x v="8"/>
  </r>
  <r>
    <x v="589"/>
    <d v="2026-05-27T12:05:00"/>
    <x v="2"/>
    <n v="1491.93"/>
    <n v="3.39"/>
    <x v="0"/>
    <x v="8"/>
  </r>
  <r>
    <x v="590"/>
    <d v="2026-05-27T12:05:00"/>
    <x v="2"/>
    <n v="0.0"/>
    <n v="3.91"/>
    <x v="1"/>
    <x v="8"/>
  </r>
  <r>
    <x v="591"/>
    <d v="2026-05-27T12:05:00"/>
    <x v="3"/>
    <n v="3165.69"/>
    <n v="3.61"/>
    <x v="0"/>
    <x v="8"/>
  </r>
  <r>
    <x v="592"/>
    <d v="2026-05-27T12:05:00"/>
    <x v="3"/>
    <n v="646.56"/>
    <n v="4.16"/>
    <x v="0"/>
    <x v="8"/>
  </r>
  <r>
    <x v="593"/>
    <d v="2026-05-27T12:05:00"/>
    <x v="3"/>
    <n v="0.0"/>
    <n v="4.26"/>
    <x v="1"/>
    <x v="8"/>
  </r>
  <r>
    <x v="594"/>
    <d v="2026-05-27T12:05:00"/>
    <x v="2"/>
    <n v="788.6"/>
    <n v="5.0"/>
    <x v="0"/>
    <x v="8"/>
  </r>
  <r>
    <x v="595"/>
    <d v="2026-05-27T12:05:00"/>
    <x v="3"/>
    <n v="0.0"/>
    <n v="3.64"/>
    <x v="1"/>
    <x v="8"/>
  </r>
  <r>
    <x v="596"/>
    <d v="2026-05-27T12:05:00"/>
    <x v="2"/>
    <n v="700.13"/>
    <n v="4.53"/>
    <x v="0"/>
    <x v="8"/>
  </r>
  <r>
    <x v="597"/>
    <d v="2026-05-27T12:05:00"/>
    <x v="1"/>
    <n v="1198.88"/>
    <n v="3.16"/>
    <x v="0"/>
    <x v="8"/>
  </r>
  <r>
    <x v="598"/>
    <d v="2026-05-27T12:05:00"/>
    <x v="1"/>
    <n v="831.65"/>
    <n v="5.0"/>
    <x v="0"/>
    <x v="8"/>
  </r>
  <r>
    <x v="599"/>
    <d v="2026-05-27T12:05:00"/>
    <x v="0"/>
    <n v="470.89"/>
    <n v="3.82"/>
    <x v="0"/>
    <x v="8"/>
  </r>
  <r>
    <x v="600"/>
    <d v="2026-05-27T12:05:00"/>
    <x v="1"/>
    <n v="0.0"/>
    <n v="3.66"/>
    <x v="1"/>
    <x v="8"/>
  </r>
  <r>
    <x v="601"/>
    <d v="2026-05-27T12:05:00"/>
    <x v="1"/>
    <n v="0.0"/>
    <n v="4.75"/>
    <x v="1"/>
    <x v="8"/>
  </r>
  <r>
    <x v="602"/>
    <d v="2026-05-27T12:05:00"/>
    <x v="0"/>
    <n v="1376.02"/>
    <n v="3.9"/>
    <x v="0"/>
    <x v="8"/>
  </r>
  <r>
    <x v="603"/>
    <d v="2026-05-27T12:05:00"/>
    <x v="3"/>
    <n v="1224.87"/>
    <n v="4.42"/>
    <x v="0"/>
    <x v="8"/>
  </r>
  <r>
    <x v="604"/>
    <d v="2026-05-27T12:05:00"/>
    <x v="2"/>
    <n v="2906.96"/>
    <n v="4.59"/>
    <x v="0"/>
    <x v="8"/>
  </r>
  <r>
    <x v="605"/>
    <d v="2026-05-27T12:05:00"/>
    <x v="1"/>
    <n v="552.98"/>
    <n v="3.82"/>
    <x v="0"/>
    <x v="8"/>
  </r>
  <r>
    <x v="606"/>
    <d v="2026-05-27T12:05:00"/>
    <x v="2"/>
    <n v="0.0"/>
    <n v="3.63"/>
    <x v="1"/>
    <x v="8"/>
  </r>
  <r>
    <x v="607"/>
    <d v="2026-05-27T12:05:00"/>
    <x v="2"/>
    <n v="642.96"/>
    <n v="4.7"/>
    <x v="0"/>
    <x v="8"/>
  </r>
  <r>
    <x v="608"/>
    <d v="2026-05-27T12:05:00"/>
    <x v="0"/>
    <n v="855.96"/>
    <n v="4.42"/>
    <x v="0"/>
    <x v="8"/>
  </r>
  <r>
    <x v="609"/>
    <d v="2026-05-27T12:05:00"/>
    <x v="2"/>
    <n v="0.0"/>
    <n v="3.62"/>
    <x v="2"/>
    <x v="8"/>
  </r>
  <r>
    <x v="610"/>
    <d v="2026-05-27T12:05:00"/>
    <x v="0"/>
    <n v="1312.91"/>
    <n v="4.93"/>
    <x v="0"/>
    <x v="8"/>
  </r>
  <r>
    <x v="611"/>
    <d v="2026-05-27T12:05:00"/>
    <x v="0"/>
    <n v="724.28"/>
    <n v="4.18"/>
    <x v="0"/>
    <x v="8"/>
  </r>
  <r>
    <x v="612"/>
    <d v="2026-05-27T12:05:00"/>
    <x v="1"/>
    <n v="0.0"/>
    <n v="3.61"/>
    <x v="2"/>
    <x v="8"/>
  </r>
  <r>
    <x v="613"/>
    <d v="2026-05-27T12:05:00"/>
    <x v="2"/>
    <n v="0.0"/>
    <n v="3.96"/>
    <x v="1"/>
    <x v="8"/>
  </r>
  <r>
    <x v="614"/>
    <d v="2026-05-27T12:05:00"/>
    <x v="2"/>
    <n v="0.0"/>
    <m/>
    <x v="1"/>
    <x v="8"/>
  </r>
  <r>
    <x v="615"/>
    <d v="2026-05-27T12:05:00"/>
    <x v="1"/>
    <n v="1381.41"/>
    <n v="3.56"/>
    <x v="0"/>
    <x v="8"/>
  </r>
  <r>
    <x v="616"/>
    <d v="2026-05-27T12:05:00"/>
    <x v="0"/>
    <n v="573.58"/>
    <n v="3.91"/>
    <x v="0"/>
    <x v="8"/>
  </r>
  <r>
    <x v="617"/>
    <d v="2026-05-27T12:05:00"/>
    <x v="1"/>
    <n v="0.0"/>
    <n v="4.18"/>
    <x v="2"/>
    <x v="8"/>
  </r>
  <r>
    <x v="618"/>
    <d v="2026-05-27T12:05:00"/>
    <x v="1"/>
    <n v="1244.48"/>
    <n v="3.46"/>
    <x v="0"/>
    <x v="8"/>
  </r>
  <r>
    <x v="619"/>
    <d v="2026-05-27T12:05:00"/>
    <x v="2"/>
    <n v="1045.96"/>
    <n v="3.93"/>
    <x v="0"/>
    <x v="8"/>
  </r>
  <r>
    <x v="620"/>
    <d v="2026-05-27T12:05:00"/>
    <x v="3"/>
    <n v="577.64"/>
    <n v="2.92"/>
    <x v="0"/>
    <x v="8"/>
  </r>
  <r>
    <x v="621"/>
    <d v="2026-05-27T12:05:00"/>
    <x v="1"/>
    <n v="1055.94"/>
    <n v="4.33"/>
    <x v="0"/>
    <x v="8"/>
  </r>
  <r>
    <x v="622"/>
    <d v="2026-05-27T12:05:00"/>
    <x v="3"/>
    <n v="1461.62"/>
    <n v="3.7"/>
    <x v="0"/>
    <x v="8"/>
  </r>
  <r>
    <x v="623"/>
    <d v="2026-05-27T12:05:00"/>
    <x v="2"/>
    <n v="899.32"/>
    <m/>
    <x v="0"/>
    <x v="8"/>
  </r>
  <r>
    <x v="624"/>
    <d v="2026-05-27T12:05:00"/>
    <x v="3"/>
    <n v="0.0"/>
    <n v="4.6"/>
    <x v="1"/>
    <x v="8"/>
  </r>
  <r>
    <x v="625"/>
    <d v="2026-05-27T12:05:00"/>
    <x v="1"/>
    <n v="1122.27"/>
    <n v="4.33"/>
    <x v="0"/>
    <x v="8"/>
  </r>
  <r>
    <x v="626"/>
    <d v="2026-05-27T12:05:00"/>
    <x v="0"/>
    <n v="919.14"/>
    <n v="4.45"/>
    <x v="0"/>
    <x v="8"/>
  </r>
  <r>
    <x v="627"/>
    <d v="2026-05-27T12:05:00"/>
    <x v="0"/>
    <n v="1611.75"/>
    <n v="4.27"/>
    <x v="0"/>
    <x v="8"/>
  </r>
  <r>
    <x v="628"/>
    <d v="2026-05-27T12:05:00"/>
    <x v="2"/>
    <n v="0.0"/>
    <n v="4.51"/>
    <x v="1"/>
    <x v="8"/>
  </r>
  <r>
    <x v="629"/>
    <d v="2026-05-27T12:05:00"/>
    <x v="0"/>
    <n v="1874.62"/>
    <n v="4.76"/>
    <x v="0"/>
    <x v="8"/>
  </r>
  <r>
    <x v="630"/>
    <d v="2026-05-27T12:05:00"/>
    <x v="2"/>
    <n v="1132.48"/>
    <n v="3.72"/>
    <x v="0"/>
    <x v="8"/>
  </r>
  <r>
    <x v="631"/>
    <d v="2026-05-27T12:05:00"/>
    <x v="1"/>
    <n v="1079.01"/>
    <n v="5.0"/>
    <x v="0"/>
    <x v="8"/>
  </r>
  <r>
    <x v="632"/>
    <d v="2026-05-27T12:05:00"/>
    <x v="3"/>
    <n v="802.43"/>
    <n v="3.44"/>
    <x v="0"/>
    <x v="8"/>
  </r>
  <r>
    <x v="633"/>
    <d v="2026-05-27T12:05:00"/>
    <x v="2"/>
    <n v="1842.16"/>
    <n v="3.52"/>
    <x v="0"/>
    <x v="8"/>
  </r>
  <r>
    <x v="634"/>
    <d v="2026-05-27T12:05:00"/>
    <x v="2"/>
    <n v="758.35"/>
    <n v="4.64"/>
    <x v="0"/>
    <x v="8"/>
  </r>
  <r>
    <x v="635"/>
    <d v="2026-05-27T12:05:00"/>
    <x v="3"/>
    <n v="2601.41"/>
    <n v="3.45"/>
    <x v="0"/>
    <x v="8"/>
  </r>
  <r>
    <x v="636"/>
    <d v="2026-05-27T12:05:00"/>
    <x v="1"/>
    <n v="2622.89"/>
    <n v="3.7"/>
    <x v="0"/>
    <x v="8"/>
  </r>
  <r>
    <x v="637"/>
    <d v="2026-05-27T12:05:00"/>
    <x v="1"/>
    <n v="1396.48"/>
    <n v="4.81"/>
    <x v="0"/>
    <x v="8"/>
  </r>
  <r>
    <x v="638"/>
    <d v="2026-05-27T12:05:00"/>
    <x v="3"/>
    <n v="3195.76"/>
    <n v="4.5"/>
    <x v="0"/>
    <x v="8"/>
  </r>
  <r>
    <x v="639"/>
    <d v="2026-05-27T12:10:00"/>
    <x v="3"/>
    <n v="1548.2"/>
    <m/>
    <x v="0"/>
    <x v="9"/>
  </r>
  <r>
    <x v="640"/>
    <d v="2026-05-27T12:10:00"/>
    <x v="2"/>
    <n v="0.0"/>
    <n v="4.42"/>
    <x v="1"/>
    <x v="9"/>
  </r>
  <r>
    <x v="641"/>
    <d v="2026-05-27T12:10:00"/>
    <x v="3"/>
    <n v="1676.61"/>
    <n v="3.92"/>
    <x v="0"/>
    <x v="9"/>
  </r>
  <r>
    <x v="642"/>
    <d v="2026-05-27T12:10:00"/>
    <x v="2"/>
    <n v="369.31"/>
    <n v="2.49"/>
    <x v="0"/>
    <x v="9"/>
  </r>
  <r>
    <x v="643"/>
    <d v="2026-05-27T12:10:00"/>
    <x v="0"/>
    <n v="3177.0"/>
    <n v="3.78"/>
    <x v="0"/>
    <x v="9"/>
  </r>
  <r>
    <x v="644"/>
    <d v="2026-05-27T12:10:00"/>
    <x v="2"/>
    <n v="1560.95"/>
    <m/>
    <x v="0"/>
    <x v="9"/>
  </r>
  <r>
    <x v="645"/>
    <d v="2026-05-27T12:10:00"/>
    <x v="2"/>
    <n v="3348.12"/>
    <n v="4.04"/>
    <x v="0"/>
    <x v="9"/>
  </r>
  <r>
    <x v="646"/>
    <d v="2026-05-27T12:10:00"/>
    <x v="0"/>
    <n v="1826.89"/>
    <m/>
    <x v="0"/>
    <x v="9"/>
  </r>
  <r>
    <x v="647"/>
    <d v="2026-05-27T12:10:00"/>
    <x v="2"/>
    <n v="1888.55"/>
    <n v="4.03"/>
    <x v="0"/>
    <x v="9"/>
  </r>
  <r>
    <x v="648"/>
    <d v="2026-05-27T12:10:00"/>
    <x v="0"/>
    <n v="941.74"/>
    <n v="4.11"/>
    <x v="0"/>
    <x v="9"/>
  </r>
  <r>
    <x v="649"/>
    <d v="2026-05-27T12:10:00"/>
    <x v="1"/>
    <n v="1865.83"/>
    <n v="3.58"/>
    <x v="0"/>
    <x v="9"/>
  </r>
  <r>
    <x v="650"/>
    <d v="2026-05-27T12:10:00"/>
    <x v="1"/>
    <n v="1821.56"/>
    <n v="3.94"/>
    <x v="0"/>
    <x v="9"/>
  </r>
  <r>
    <x v="651"/>
    <d v="2026-05-27T12:10:00"/>
    <x v="1"/>
    <n v="0.0"/>
    <n v="2.91"/>
    <x v="1"/>
    <x v="9"/>
  </r>
  <r>
    <x v="652"/>
    <d v="2026-05-27T12:10:00"/>
    <x v="2"/>
    <n v="1732.08"/>
    <m/>
    <x v="0"/>
    <x v="9"/>
  </r>
  <r>
    <x v="653"/>
    <d v="2026-05-27T12:10:00"/>
    <x v="0"/>
    <n v="813.04"/>
    <n v="4.65"/>
    <x v="0"/>
    <x v="9"/>
  </r>
  <r>
    <x v="654"/>
    <d v="2026-05-27T12:10:00"/>
    <x v="3"/>
    <n v="1027.89"/>
    <n v="3.12"/>
    <x v="0"/>
    <x v="9"/>
  </r>
  <r>
    <x v="655"/>
    <d v="2026-05-27T12:10:00"/>
    <x v="2"/>
    <n v="0.0"/>
    <n v="3.51"/>
    <x v="2"/>
    <x v="9"/>
  </r>
  <r>
    <x v="656"/>
    <d v="2026-05-27T12:10:00"/>
    <x v="1"/>
    <n v="1247.29"/>
    <n v="3.23"/>
    <x v="0"/>
    <x v="9"/>
  </r>
  <r>
    <x v="657"/>
    <d v="2026-05-27T12:10:00"/>
    <x v="1"/>
    <n v="0.0"/>
    <n v="3.0"/>
    <x v="2"/>
    <x v="9"/>
  </r>
  <r>
    <x v="658"/>
    <d v="2026-05-27T12:10:00"/>
    <x v="2"/>
    <n v="1413.89"/>
    <n v="4.18"/>
    <x v="0"/>
    <x v="9"/>
  </r>
  <r>
    <x v="659"/>
    <d v="2026-05-27T12:10:00"/>
    <x v="3"/>
    <n v="0.0"/>
    <n v="3.74"/>
    <x v="1"/>
    <x v="9"/>
  </r>
  <r>
    <x v="660"/>
    <d v="2026-05-27T12:10:00"/>
    <x v="3"/>
    <n v="2664.97"/>
    <n v="4.56"/>
    <x v="0"/>
    <x v="9"/>
  </r>
  <r>
    <x v="661"/>
    <d v="2026-05-27T12:10:00"/>
    <x v="3"/>
    <n v="944.78"/>
    <n v="4.52"/>
    <x v="0"/>
    <x v="9"/>
  </r>
  <r>
    <x v="662"/>
    <d v="2026-05-27T12:10:00"/>
    <x v="2"/>
    <n v="1303.4"/>
    <n v="4.16"/>
    <x v="0"/>
    <x v="9"/>
  </r>
  <r>
    <x v="663"/>
    <d v="2026-05-27T12:10:00"/>
    <x v="0"/>
    <n v="852.54"/>
    <m/>
    <x v="0"/>
    <x v="9"/>
  </r>
  <r>
    <x v="664"/>
    <d v="2026-05-27T12:10:00"/>
    <x v="3"/>
    <n v="0.0"/>
    <n v="3.37"/>
    <x v="1"/>
    <x v="9"/>
  </r>
  <r>
    <x v="665"/>
    <d v="2026-05-27T12:10:00"/>
    <x v="0"/>
    <n v="1694.8"/>
    <n v="4.49"/>
    <x v="0"/>
    <x v="9"/>
  </r>
  <r>
    <x v="666"/>
    <d v="2026-05-27T12:10:00"/>
    <x v="2"/>
    <n v="1028.55"/>
    <m/>
    <x v="0"/>
    <x v="9"/>
  </r>
  <r>
    <x v="667"/>
    <d v="2026-05-27T12:10:00"/>
    <x v="3"/>
    <n v="0.0"/>
    <n v="3.87"/>
    <x v="1"/>
    <x v="9"/>
  </r>
  <r>
    <x v="668"/>
    <d v="2026-05-27T12:10:00"/>
    <x v="2"/>
    <n v="575.64"/>
    <n v="4.25"/>
    <x v="0"/>
    <x v="9"/>
  </r>
  <r>
    <x v="669"/>
    <d v="2026-05-27T12:10:00"/>
    <x v="3"/>
    <n v="3410.03"/>
    <n v="3.86"/>
    <x v="0"/>
    <x v="9"/>
  </r>
  <r>
    <x v="670"/>
    <d v="2026-05-27T12:10:00"/>
    <x v="1"/>
    <n v="1610.27"/>
    <m/>
    <x v="0"/>
    <x v="9"/>
  </r>
  <r>
    <x v="671"/>
    <d v="2026-05-27T12:10:00"/>
    <x v="0"/>
    <n v="1219.84"/>
    <n v="4.11"/>
    <x v="0"/>
    <x v="9"/>
  </r>
  <r>
    <x v="672"/>
    <d v="2026-05-27T12:10:00"/>
    <x v="0"/>
    <n v="0.0"/>
    <n v="4.58"/>
    <x v="1"/>
    <x v="9"/>
  </r>
  <r>
    <x v="673"/>
    <d v="2026-05-27T12:10:00"/>
    <x v="2"/>
    <n v="1708.12"/>
    <n v="4.02"/>
    <x v="0"/>
    <x v="9"/>
  </r>
  <r>
    <x v="674"/>
    <d v="2026-05-27T12:10:00"/>
    <x v="0"/>
    <n v="626.28"/>
    <n v="3.86"/>
    <x v="0"/>
    <x v="9"/>
  </r>
  <r>
    <x v="675"/>
    <d v="2026-05-27T12:10:00"/>
    <x v="0"/>
    <n v="0.0"/>
    <n v="4.02"/>
    <x v="1"/>
    <x v="9"/>
  </r>
  <r>
    <x v="676"/>
    <d v="2026-05-27T12:10:00"/>
    <x v="1"/>
    <n v="0.0"/>
    <m/>
    <x v="2"/>
    <x v="9"/>
  </r>
  <r>
    <x v="677"/>
    <d v="2026-05-27T12:10:00"/>
    <x v="0"/>
    <n v="1477.95"/>
    <n v="4.37"/>
    <x v="0"/>
    <x v="9"/>
  </r>
  <r>
    <x v="678"/>
    <d v="2026-05-27T12:10:00"/>
    <x v="3"/>
    <n v="0.0"/>
    <n v="3.67"/>
    <x v="1"/>
    <x v="9"/>
  </r>
  <r>
    <x v="679"/>
    <d v="2026-05-27T12:10:00"/>
    <x v="3"/>
    <n v="1262.09"/>
    <m/>
    <x v="0"/>
    <x v="9"/>
  </r>
  <r>
    <x v="680"/>
    <d v="2026-05-27T12:10:00"/>
    <x v="3"/>
    <n v="2329.68"/>
    <n v="4.49"/>
    <x v="0"/>
    <x v="9"/>
  </r>
  <r>
    <x v="681"/>
    <d v="2026-05-27T12:10:00"/>
    <x v="1"/>
    <n v="2069.52"/>
    <n v="4.21"/>
    <x v="0"/>
    <x v="9"/>
  </r>
  <r>
    <x v="682"/>
    <d v="2026-05-27T12:10:00"/>
    <x v="1"/>
    <n v="982.75"/>
    <n v="3.39"/>
    <x v="0"/>
    <x v="9"/>
  </r>
  <r>
    <x v="683"/>
    <d v="2026-05-27T12:10:00"/>
    <x v="2"/>
    <n v="857.7"/>
    <n v="4.63"/>
    <x v="0"/>
    <x v="9"/>
  </r>
  <r>
    <x v="684"/>
    <d v="2026-05-27T12:10:00"/>
    <x v="0"/>
    <n v="1016.83"/>
    <n v="3.62"/>
    <x v="0"/>
    <x v="9"/>
  </r>
  <r>
    <x v="685"/>
    <d v="2026-05-27T12:10:00"/>
    <x v="1"/>
    <n v="548.85"/>
    <n v="3.8"/>
    <x v="0"/>
    <x v="9"/>
  </r>
  <r>
    <x v="686"/>
    <d v="2026-05-27T12:10:00"/>
    <x v="1"/>
    <n v="968.35"/>
    <n v="4.57"/>
    <x v="0"/>
    <x v="9"/>
  </r>
  <r>
    <x v="687"/>
    <d v="2026-05-27T12:10:00"/>
    <x v="1"/>
    <n v="0.0"/>
    <n v="3.63"/>
    <x v="1"/>
    <x v="9"/>
  </r>
  <r>
    <x v="688"/>
    <d v="2026-05-27T12:10:00"/>
    <x v="2"/>
    <n v="1220.64"/>
    <n v="4.05"/>
    <x v="0"/>
    <x v="9"/>
  </r>
  <r>
    <x v="689"/>
    <d v="2026-05-27T12:10:00"/>
    <x v="0"/>
    <n v="897.59"/>
    <n v="3.09"/>
    <x v="0"/>
    <x v="9"/>
  </r>
  <r>
    <x v="690"/>
    <d v="2026-05-27T12:10:00"/>
    <x v="3"/>
    <n v="0.0"/>
    <n v="4.98"/>
    <x v="1"/>
    <x v="9"/>
  </r>
  <r>
    <x v="691"/>
    <d v="2026-05-27T12:10:00"/>
    <x v="1"/>
    <n v="0.0"/>
    <n v="3.83"/>
    <x v="1"/>
    <x v="9"/>
  </r>
  <r>
    <x v="692"/>
    <d v="2026-05-27T12:10:00"/>
    <x v="2"/>
    <n v="0.0"/>
    <n v="2.94"/>
    <x v="2"/>
    <x v="9"/>
  </r>
  <r>
    <x v="693"/>
    <d v="2026-05-27T12:10:00"/>
    <x v="3"/>
    <n v="0.0"/>
    <n v="4.16"/>
    <x v="1"/>
    <x v="9"/>
  </r>
  <r>
    <x v="694"/>
    <d v="2026-05-27T12:10:00"/>
    <x v="3"/>
    <n v="1332.8"/>
    <n v="3.3"/>
    <x v="0"/>
    <x v="9"/>
  </r>
  <r>
    <x v="695"/>
    <d v="2026-05-27T12:10:00"/>
    <x v="3"/>
    <n v="1192.2"/>
    <m/>
    <x v="0"/>
    <x v="9"/>
  </r>
  <r>
    <x v="696"/>
    <d v="2026-05-27T12:10:00"/>
    <x v="1"/>
    <n v="1958.1"/>
    <n v="4.51"/>
    <x v="0"/>
    <x v="9"/>
  </r>
  <r>
    <x v="697"/>
    <d v="2026-05-27T12:10:00"/>
    <x v="0"/>
    <n v="1641.45"/>
    <n v="2.82"/>
    <x v="0"/>
    <x v="9"/>
  </r>
  <r>
    <x v="698"/>
    <d v="2026-05-27T12:10:00"/>
    <x v="2"/>
    <n v="650.2"/>
    <n v="3.62"/>
    <x v="0"/>
    <x v="9"/>
  </r>
  <r>
    <x v="699"/>
    <d v="2026-05-27T12:10:00"/>
    <x v="2"/>
    <n v="2208.78"/>
    <n v="3.74"/>
    <x v="0"/>
    <x v="9"/>
  </r>
  <r>
    <x v="700"/>
    <d v="2026-05-27T12:10:00"/>
    <x v="2"/>
    <n v="0.0"/>
    <n v="4.21"/>
    <x v="2"/>
    <x v="9"/>
  </r>
  <r>
    <x v="701"/>
    <d v="2026-05-27T12:10:00"/>
    <x v="0"/>
    <n v="1920.23"/>
    <n v="4.42"/>
    <x v="0"/>
    <x v="9"/>
  </r>
  <r>
    <x v="702"/>
    <d v="2026-05-27T12:10:00"/>
    <x v="0"/>
    <n v="1418.08"/>
    <n v="3.76"/>
    <x v="0"/>
    <x v="9"/>
  </r>
  <r>
    <x v="703"/>
    <d v="2026-05-27T12:10:00"/>
    <x v="2"/>
    <n v="1268.43"/>
    <n v="3.68"/>
    <x v="0"/>
    <x v="9"/>
  </r>
  <r>
    <x v="704"/>
    <d v="2026-05-27T12:10:00"/>
    <x v="3"/>
    <n v="1824.83"/>
    <n v="4.67"/>
    <x v="0"/>
    <x v="9"/>
  </r>
  <r>
    <x v="705"/>
    <d v="2026-05-27T12:10:00"/>
    <x v="0"/>
    <n v="2434.92"/>
    <m/>
    <x v="0"/>
    <x v="9"/>
  </r>
  <r>
    <x v="706"/>
    <d v="2026-05-27T12:10:00"/>
    <x v="2"/>
    <n v="698.14"/>
    <n v="3.52"/>
    <x v="0"/>
    <x v="9"/>
  </r>
  <r>
    <x v="707"/>
    <d v="2026-05-27T12:10:00"/>
    <x v="0"/>
    <n v="795.5"/>
    <m/>
    <x v="0"/>
    <x v="9"/>
  </r>
  <r>
    <x v="708"/>
    <d v="2026-05-27T12:10:00"/>
    <x v="2"/>
    <n v="2028.79"/>
    <n v="3.55"/>
    <x v="0"/>
    <x v="9"/>
  </r>
  <r>
    <x v="709"/>
    <d v="2026-05-27T12:10:00"/>
    <x v="3"/>
    <n v="1058.53"/>
    <n v="3.33"/>
    <x v="0"/>
    <x v="9"/>
  </r>
  <r>
    <x v="710"/>
    <d v="2026-05-27T12:10:00"/>
    <x v="2"/>
    <n v="1941.91"/>
    <n v="4.53"/>
    <x v="0"/>
    <x v="9"/>
  </r>
  <r>
    <x v="711"/>
    <d v="2026-05-27T12:10:00"/>
    <x v="0"/>
    <n v="0.0"/>
    <n v="3.31"/>
    <x v="1"/>
    <x v="9"/>
  </r>
  <r>
    <x v="712"/>
    <d v="2026-05-27T12:10:00"/>
    <x v="2"/>
    <n v="0.0"/>
    <n v="4.79"/>
    <x v="1"/>
    <x v="9"/>
  </r>
  <r>
    <x v="713"/>
    <d v="2026-05-27T12:10:00"/>
    <x v="3"/>
    <n v="1461.0"/>
    <n v="4.16"/>
    <x v="0"/>
    <x v="9"/>
  </r>
  <r>
    <x v="714"/>
    <d v="2026-05-27T12:10:00"/>
    <x v="0"/>
    <n v="0.0"/>
    <n v="2.68"/>
    <x v="1"/>
    <x v="9"/>
  </r>
  <r>
    <x v="715"/>
    <d v="2026-05-27T12:10:00"/>
    <x v="3"/>
    <n v="2387.66"/>
    <n v="3.21"/>
    <x v="0"/>
    <x v="9"/>
  </r>
  <r>
    <x v="716"/>
    <d v="2026-05-27T12:15:00"/>
    <x v="3"/>
    <n v="0.0"/>
    <n v="4.69"/>
    <x v="1"/>
    <x v="10"/>
  </r>
  <r>
    <x v="717"/>
    <d v="2026-05-27T12:15:00"/>
    <x v="1"/>
    <n v="1256.78"/>
    <n v="4.58"/>
    <x v="0"/>
    <x v="10"/>
  </r>
  <r>
    <x v="718"/>
    <d v="2026-05-27T12:15:00"/>
    <x v="2"/>
    <n v="1338.94"/>
    <n v="3.21"/>
    <x v="0"/>
    <x v="10"/>
  </r>
  <r>
    <x v="719"/>
    <d v="2026-05-27T12:15:00"/>
    <x v="0"/>
    <n v="974.19"/>
    <n v="3.88"/>
    <x v="0"/>
    <x v="10"/>
  </r>
  <r>
    <x v="720"/>
    <d v="2026-05-27T12:15:00"/>
    <x v="0"/>
    <n v="1650.23"/>
    <n v="4.49"/>
    <x v="0"/>
    <x v="10"/>
  </r>
  <r>
    <x v="721"/>
    <d v="2026-05-27T12:15:00"/>
    <x v="2"/>
    <n v="1029.99"/>
    <m/>
    <x v="0"/>
    <x v="10"/>
  </r>
  <r>
    <x v="722"/>
    <d v="2026-05-27T12:15:00"/>
    <x v="3"/>
    <n v="883.32"/>
    <n v="4.78"/>
    <x v="0"/>
    <x v="10"/>
  </r>
  <r>
    <x v="723"/>
    <d v="2026-05-27T12:15:00"/>
    <x v="0"/>
    <n v="1017.52"/>
    <n v="4.21"/>
    <x v="0"/>
    <x v="10"/>
  </r>
  <r>
    <x v="724"/>
    <d v="2026-05-27T12:15:00"/>
    <x v="1"/>
    <n v="0.0"/>
    <n v="4.44"/>
    <x v="2"/>
    <x v="10"/>
  </r>
  <r>
    <x v="725"/>
    <d v="2026-05-27T12:15:00"/>
    <x v="1"/>
    <n v="1603.54"/>
    <n v="3.3"/>
    <x v="0"/>
    <x v="10"/>
  </r>
  <r>
    <x v="726"/>
    <d v="2026-05-27T12:15:00"/>
    <x v="0"/>
    <n v="1960.65"/>
    <n v="4.95"/>
    <x v="0"/>
    <x v="10"/>
  </r>
  <r>
    <x v="727"/>
    <d v="2026-05-27T12:15:00"/>
    <x v="1"/>
    <n v="943.41"/>
    <n v="2.98"/>
    <x v="0"/>
    <x v="10"/>
  </r>
  <r>
    <x v="728"/>
    <d v="2026-05-27T12:15:00"/>
    <x v="0"/>
    <n v="0.0"/>
    <n v="5.0"/>
    <x v="1"/>
    <x v="10"/>
  </r>
  <r>
    <x v="729"/>
    <d v="2026-05-27T12:15:00"/>
    <x v="0"/>
    <n v="1499.52"/>
    <n v="3.71"/>
    <x v="0"/>
    <x v="10"/>
  </r>
  <r>
    <x v="730"/>
    <d v="2026-05-27T12:15:00"/>
    <x v="3"/>
    <n v="1850.45"/>
    <n v="2.9"/>
    <x v="0"/>
    <x v="10"/>
  </r>
  <r>
    <x v="731"/>
    <d v="2026-05-27T12:15:00"/>
    <x v="3"/>
    <n v="719.81"/>
    <n v="3.76"/>
    <x v="0"/>
    <x v="10"/>
  </r>
  <r>
    <x v="732"/>
    <d v="2026-05-27T12:15:00"/>
    <x v="3"/>
    <n v="1073.88"/>
    <n v="3.88"/>
    <x v="0"/>
    <x v="10"/>
  </r>
  <r>
    <x v="733"/>
    <d v="2026-05-27T12:15:00"/>
    <x v="2"/>
    <n v="738.93"/>
    <m/>
    <x v="0"/>
    <x v="10"/>
  </r>
  <r>
    <x v="734"/>
    <d v="2026-05-27T12:15:00"/>
    <x v="3"/>
    <n v="0.0"/>
    <n v="5.0"/>
    <x v="1"/>
    <x v="10"/>
  </r>
  <r>
    <x v="735"/>
    <d v="2026-05-27T12:15:00"/>
    <x v="0"/>
    <n v="1201.22"/>
    <n v="2.98"/>
    <x v="0"/>
    <x v="10"/>
  </r>
  <r>
    <x v="736"/>
    <d v="2026-05-27T12:15:00"/>
    <x v="1"/>
    <n v="0.0"/>
    <n v="3.73"/>
    <x v="1"/>
    <x v="10"/>
  </r>
  <r>
    <x v="737"/>
    <d v="2026-05-27T12:15:00"/>
    <x v="1"/>
    <n v="0.0"/>
    <n v="4.05"/>
    <x v="2"/>
    <x v="10"/>
  </r>
  <r>
    <x v="738"/>
    <d v="2026-05-27T12:15:00"/>
    <x v="0"/>
    <n v="0.0"/>
    <n v="4.09"/>
    <x v="1"/>
    <x v="10"/>
  </r>
  <r>
    <x v="739"/>
    <d v="2026-05-27T12:15:00"/>
    <x v="2"/>
    <n v="777.64"/>
    <n v="3.19"/>
    <x v="0"/>
    <x v="10"/>
  </r>
  <r>
    <x v="740"/>
    <d v="2026-05-27T12:15:00"/>
    <x v="1"/>
    <n v="0.0"/>
    <n v="4.31"/>
    <x v="1"/>
    <x v="10"/>
  </r>
  <r>
    <x v="741"/>
    <d v="2026-05-27T12:15:00"/>
    <x v="0"/>
    <n v="1121.04"/>
    <n v="3.71"/>
    <x v="0"/>
    <x v="10"/>
  </r>
  <r>
    <x v="742"/>
    <d v="2026-05-27T12:15:00"/>
    <x v="0"/>
    <n v="1454.59"/>
    <n v="3.73"/>
    <x v="0"/>
    <x v="10"/>
  </r>
  <r>
    <x v="743"/>
    <d v="2026-05-27T12:15:00"/>
    <x v="0"/>
    <n v="848.82"/>
    <n v="3.79"/>
    <x v="0"/>
    <x v="10"/>
  </r>
  <r>
    <x v="744"/>
    <d v="2026-05-27T12:15:00"/>
    <x v="1"/>
    <n v="0.0"/>
    <m/>
    <x v="2"/>
    <x v="10"/>
  </r>
  <r>
    <x v="745"/>
    <d v="2026-05-27T12:15:00"/>
    <x v="1"/>
    <n v="0.0"/>
    <n v="2.9"/>
    <x v="1"/>
    <x v="10"/>
  </r>
  <r>
    <x v="746"/>
    <d v="2026-05-27T12:15:00"/>
    <x v="3"/>
    <n v="3395.02"/>
    <n v="4.58"/>
    <x v="0"/>
    <x v="10"/>
  </r>
  <r>
    <x v="747"/>
    <d v="2026-05-27T12:15:00"/>
    <x v="2"/>
    <n v="2624.5"/>
    <m/>
    <x v="0"/>
    <x v="10"/>
  </r>
  <r>
    <x v="748"/>
    <d v="2026-05-27T12:15:00"/>
    <x v="0"/>
    <n v="872.59"/>
    <n v="3.99"/>
    <x v="0"/>
    <x v="10"/>
  </r>
  <r>
    <x v="749"/>
    <d v="2026-05-27T12:15:00"/>
    <x v="3"/>
    <n v="798.47"/>
    <n v="4.59"/>
    <x v="0"/>
    <x v="10"/>
  </r>
  <r>
    <x v="750"/>
    <d v="2026-05-27T12:15:00"/>
    <x v="1"/>
    <n v="1247.84"/>
    <n v="4.0"/>
    <x v="0"/>
    <x v="10"/>
  </r>
  <r>
    <x v="751"/>
    <d v="2026-05-27T12:15:00"/>
    <x v="0"/>
    <n v="0.0"/>
    <n v="4.01"/>
    <x v="1"/>
    <x v="10"/>
  </r>
  <r>
    <x v="752"/>
    <d v="2026-05-27T12:15:00"/>
    <x v="2"/>
    <n v="1045.95"/>
    <n v="3.17"/>
    <x v="0"/>
    <x v="10"/>
  </r>
  <r>
    <x v="753"/>
    <d v="2026-05-27T12:15:00"/>
    <x v="0"/>
    <n v="0.0"/>
    <n v="3.65"/>
    <x v="1"/>
    <x v="10"/>
  </r>
  <r>
    <x v="754"/>
    <d v="2026-05-27T12:15:00"/>
    <x v="3"/>
    <n v="1097.15"/>
    <n v="3.65"/>
    <x v="0"/>
    <x v="10"/>
  </r>
  <r>
    <x v="755"/>
    <d v="2026-05-27T12:15:00"/>
    <x v="3"/>
    <n v="1323.38"/>
    <n v="4.21"/>
    <x v="0"/>
    <x v="10"/>
  </r>
  <r>
    <x v="756"/>
    <d v="2026-05-27T12:15:00"/>
    <x v="0"/>
    <n v="1706.92"/>
    <n v="4.18"/>
    <x v="0"/>
    <x v="10"/>
  </r>
  <r>
    <x v="757"/>
    <d v="2026-05-27T12:15:00"/>
    <x v="0"/>
    <n v="2879.13"/>
    <n v="4.33"/>
    <x v="0"/>
    <x v="10"/>
  </r>
  <r>
    <x v="758"/>
    <d v="2026-05-27T12:15:00"/>
    <x v="0"/>
    <n v="0.0"/>
    <n v="4.43"/>
    <x v="1"/>
    <x v="10"/>
  </r>
  <r>
    <x v="759"/>
    <d v="2026-05-27T12:15:00"/>
    <x v="2"/>
    <n v="2394.62"/>
    <m/>
    <x v="0"/>
    <x v="10"/>
  </r>
  <r>
    <x v="760"/>
    <d v="2026-05-27T12:15:00"/>
    <x v="1"/>
    <n v="1482.89"/>
    <n v="4.2"/>
    <x v="0"/>
    <x v="10"/>
  </r>
  <r>
    <x v="761"/>
    <d v="2026-05-27T12:15:00"/>
    <x v="3"/>
    <n v="2408.82"/>
    <n v="3.73"/>
    <x v="0"/>
    <x v="10"/>
  </r>
  <r>
    <x v="762"/>
    <d v="2026-05-27T12:15:00"/>
    <x v="3"/>
    <n v="0.0"/>
    <n v="4.8"/>
    <x v="1"/>
    <x v="10"/>
  </r>
  <r>
    <x v="763"/>
    <d v="2026-05-27T12:15:00"/>
    <x v="0"/>
    <n v="672.32"/>
    <m/>
    <x v="0"/>
    <x v="10"/>
  </r>
  <r>
    <x v="764"/>
    <d v="2026-05-27T12:15:00"/>
    <x v="1"/>
    <n v="1090.05"/>
    <n v="3.14"/>
    <x v="0"/>
    <x v="10"/>
  </r>
  <r>
    <x v="765"/>
    <d v="2026-05-27T12:15:00"/>
    <x v="2"/>
    <n v="0.0"/>
    <n v="3.89"/>
    <x v="2"/>
    <x v="10"/>
  </r>
  <r>
    <x v="766"/>
    <d v="2026-05-27T12:15:00"/>
    <x v="2"/>
    <n v="1714.98"/>
    <n v="3.81"/>
    <x v="0"/>
    <x v="10"/>
  </r>
  <r>
    <x v="767"/>
    <d v="2026-05-27T12:20:00"/>
    <x v="2"/>
    <n v="1056.92"/>
    <n v="3.98"/>
    <x v="0"/>
    <x v="11"/>
  </r>
  <r>
    <x v="768"/>
    <d v="2026-05-27T12:20:00"/>
    <x v="0"/>
    <n v="2227.78"/>
    <n v="3.94"/>
    <x v="0"/>
    <x v="11"/>
  </r>
  <r>
    <x v="769"/>
    <d v="2026-05-27T12:20:00"/>
    <x v="2"/>
    <n v="1874.82"/>
    <n v="4.1"/>
    <x v="0"/>
    <x v="11"/>
  </r>
  <r>
    <x v="770"/>
    <d v="2026-05-27T12:20:00"/>
    <x v="3"/>
    <n v="0.0"/>
    <n v="4.76"/>
    <x v="2"/>
    <x v="11"/>
  </r>
  <r>
    <x v="771"/>
    <d v="2026-05-27T12:20:00"/>
    <x v="3"/>
    <n v="1128.22"/>
    <n v="3.95"/>
    <x v="0"/>
    <x v="11"/>
  </r>
  <r>
    <x v="772"/>
    <d v="2026-05-27T12:20:00"/>
    <x v="0"/>
    <n v="1526.06"/>
    <n v="4.66"/>
    <x v="0"/>
    <x v="11"/>
  </r>
  <r>
    <x v="773"/>
    <d v="2026-05-27T12:20:00"/>
    <x v="3"/>
    <n v="1306.67"/>
    <n v="4.41"/>
    <x v="0"/>
    <x v="11"/>
  </r>
  <r>
    <x v="774"/>
    <d v="2026-05-27T12:20:00"/>
    <x v="0"/>
    <n v="725.2"/>
    <n v="4.57"/>
    <x v="0"/>
    <x v="11"/>
  </r>
  <r>
    <x v="775"/>
    <d v="2026-05-27T12:20:00"/>
    <x v="2"/>
    <n v="3219.98"/>
    <m/>
    <x v="0"/>
    <x v="11"/>
  </r>
  <r>
    <x v="776"/>
    <d v="2026-05-27T12:20:00"/>
    <x v="2"/>
    <n v="917.79"/>
    <n v="3.53"/>
    <x v="0"/>
    <x v="11"/>
  </r>
  <r>
    <x v="777"/>
    <d v="2026-05-27T12:20:00"/>
    <x v="1"/>
    <n v="636.43"/>
    <n v="4.36"/>
    <x v="0"/>
    <x v="11"/>
  </r>
  <r>
    <x v="778"/>
    <d v="2026-05-27T12:20:00"/>
    <x v="3"/>
    <n v="0.0"/>
    <n v="3.67"/>
    <x v="1"/>
    <x v="11"/>
  </r>
  <r>
    <x v="779"/>
    <d v="2026-05-27T12:20:00"/>
    <x v="3"/>
    <n v="0.0"/>
    <n v="3.73"/>
    <x v="2"/>
    <x v="11"/>
  </r>
  <r>
    <x v="780"/>
    <d v="2026-05-27T12:20:00"/>
    <x v="2"/>
    <n v="0.0"/>
    <n v="3.55"/>
    <x v="1"/>
    <x v="11"/>
  </r>
  <r>
    <x v="781"/>
    <d v="2026-05-27T12:20:00"/>
    <x v="2"/>
    <n v="768.95"/>
    <n v="4.19"/>
    <x v="0"/>
    <x v="11"/>
  </r>
  <r>
    <x v="782"/>
    <d v="2026-05-27T12:20:00"/>
    <x v="0"/>
    <n v="613.1"/>
    <m/>
    <x v="0"/>
    <x v="11"/>
  </r>
  <r>
    <x v="783"/>
    <d v="2026-05-27T12:20:00"/>
    <x v="2"/>
    <n v="1389.05"/>
    <m/>
    <x v="0"/>
    <x v="11"/>
  </r>
  <r>
    <x v="784"/>
    <d v="2026-05-27T12:20:00"/>
    <x v="0"/>
    <n v="2839.65"/>
    <n v="3.64"/>
    <x v="0"/>
    <x v="11"/>
  </r>
  <r>
    <x v="785"/>
    <d v="2026-05-27T12:20:00"/>
    <x v="1"/>
    <n v="1480.25"/>
    <n v="2.3"/>
    <x v="0"/>
    <x v="11"/>
  </r>
  <r>
    <x v="786"/>
    <d v="2026-05-27T12:20:00"/>
    <x v="3"/>
    <n v="1867.3"/>
    <m/>
    <x v="0"/>
    <x v="11"/>
  </r>
  <r>
    <x v="787"/>
    <d v="2026-05-27T12:20:00"/>
    <x v="3"/>
    <n v="782.31"/>
    <n v="4.13"/>
    <x v="0"/>
    <x v="11"/>
  </r>
  <r>
    <x v="788"/>
    <d v="2026-05-27T12:20:00"/>
    <x v="0"/>
    <n v="0.0"/>
    <n v="3.9"/>
    <x v="1"/>
    <x v="11"/>
  </r>
  <r>
    <x v="789"/>
    <d v="2026-05-27T12:20:00"/>
    <x v="2"/>
    <n v="1809.54"/>
    <n v="4.05"/>
    <x v="0"/>
    <x v="11"/>
  </r>
  <r>
    <x v="790"/>
    <d v="2026-05-27T12:20:00"/>
    <x v="2"/>
    <n v="0.0"/>
    <n v="4.2"/>
    <x v="1"/>
    <x v="11"/>
  </r>
  <r>
    <x v="791"/>
    <d v="2026-05-27T12:20:00"/>
    <x v="1"/>
    <n v="1053.81"/>
    <n v="4.67"/>
    <x v="0"/>
    <x v="11"/>
  </r>
  <r>
    <x v="792"/>
    <d v="2026-05-27T12:20:00"/>
    <x v="0"/>
    <n v="1500.81"/>
    <n v="3.65"/>
    <x v="0"/>
    <x v="11"/>
  </r>
  <r>
    <x v="793"/>
    <d v="2026-05-27T12:20:00"/>
    <x v="1"/>
    <n v="2129.69"/>
    <n v="3.97"/>
    <x v="0"/>
    <x v="11"/>
  </r>
  <r>
    <x v="794"/>
    <d v="2026-05-27T12:20:00"/>
    <x v="0"/>
    <n v="1642.59"/>
    <n v="4.32"/>
    <x v="0"/>
    <x v="11"/>
  </r>
  <r>
    <x v="795"/>
    <d v="2026-05-27T12:20:00"/>
    <x v="3"/>
    <n v="1596.7"/>
    <n v="3.82"/>
    <x v="0"/>
    <x v="11"/>
  </r>
  <r>
    <x v="796"/>
    <d v="2026-05-27T12:20:00"/>
    <x v="0"/>
    <n v="0.0"/>
    <n v="3.82"/>
    <x v="2"/>
    <x v="11"/>
  </r>
  <r>
    <x v="797"/>
    <d v="2026-05-27T12:20:00"/>
    <x v="0"/>
    <n v="1072.41"/>
    <n v="4.44"/>
    <x v="0"/>
    <x v="11"/>
  </r>
  <r>
    <x v="798"/>
    <d v="2026-05-27T12:20:00"/>
    <x v="2"/>
    <n v="1126.2"/>
    <n v="4.02"/>
    <x v="0"/>
    <x v="11"/>
  </r>
  <r>
    <x v="799"/>
    <d v="2026-05-27T12:20:00"/>
    <x v="3"/>
    <n v="0.0"/>
    <n v="4.33"/>
    <x v="1"/>
    <x v="11"/>
  </r>
  <r>
    <x v="800"/>
    <d v="2026-05-27T12:20:00"/>
    <x v="0"/>
    <n v="836.05"/>
    <n v="4.47"/>
    <x v="0"/>
    <x v="11"/>
  </r>
  <r>
    <x v="801"/>
    <d v="2026-05-27T12:20:00"/>
    <x v="0"/>
    <n v="0.0"/>
    <n v="4.13"/>
    <x v="2"/>
    <x v="11"/>
  </r>
  <r>
    <x v="802"/>
    <d v="2026-05-27T12:20:00"/>
    <x v="3"/>
    <n v="0.0"/>
    <n v="5.0"/>
    <x v="1"/>
    <x v="11"/>
  </r>
  <r>
    <x v="803"/>
    <d v="2026-05-27T12:20:00"/>
    <x v="1"/>
    <n v="1252.62"/>
    <n v="4.73"/>
    <x v="0"/>
    <x v="11"/>
  </r>
  <r>
    <x v="804"/>
    <d v="2026-05-27T12:20:00"/>
    <x v="2"/>
    <n v="0.0"/>
    <n v="4.26"/>
    <x v="2"/>
    <x v="11"/>
  </r>
  <r>
    <x v="805"/>
    <d v="2026-05-27T12:20:00"/>
    <x v="3"/>
    <n v="0.0"/>
    <n v="3.4"/>
    <x v="1"/>
    <x v="11"/>
  </r>
  <r>
    <x v="806"/>
    <d v="2026-05-27T12:20:00"/>
    <x v="0"/>
    <n v="857.87"/>
    <n v="5.0"/>
    <x v="0"/>
    <x v="11"/>
  </r>
  <r>
    <x v="807"/>
    <d v="2026-05-27T12:20:00"/>
    <x v="2"/>
    <n v="922.83"/>
    <m/>
    <x v="0"/>
    <x v="11"/>
  </r>
  <r>
    <x v="808"/>
    <d v="2026-05-27T12:20:00"/>
    <x v="2"/>
    <n v="1255.31"/>
    <n v="3.2"/>
    <x v="0"/>
    <x v="11"/>
  </r>
  <r>
    <x v="809"/>
    <d v="2026-05-27T12:20:00"/>
    <x v="3"/>
    <n v="1246.76"/>
    <n v="4.14"/>
    <x v="0"/>
    <x v="11"/>
  </r>
  <r>
    <x v="810"/>
    <d v="2026-05-27T12:20:00"/>
    <x v="3"/>
    <n v="996.24"/>
    <n v="3.72"/>
    <x v="0"/>
    <x v="11"/>
  </r>
  <r>
    <x v="811"/>
    <d v="2026-05-27T12:20:00"/>
    <x v="3"/>
    <n v="0.0"/>
    <n v="4.38"/>
    <x v="1"/>
    <x v="11"/>
  </r>
  <r>
    <x v="812"/>
    <d v="2026-05-27T12:20:00"/>
    <x v="0"/>
    <n v="1110.13"/>
    <n v="5.0"/>
    <x v="0"/>
    <x v="11"/>
  </r>
  <r>
    <x v="813"/>
    <d v="2026-05-27T12:20:00"/>
    <x v="1"/>
    <n v="938.62"/>
    <n v="3.45"/>
    <x v="0"/>
    <x v="11"/>
  </r>
  <r>
    <x v="814"/>
    <d v="2026-05-27T12:20:00"/>
    <x v="2"/>
    <n v="2014.33"/>
    <n v="4.66"/>
    <x v="0"/>
    <x v="11"/>
  </r>
  <r>
    <x v="815"/>
    <d v="2026-05-27T12:20:00"/>
    <x v="2"/>
    <n v="1524.57"/>
    <n v="3.74"/>
    <x v="0"/>
    <x v="11"/>
  </r>
  <r>
    <x v="816"/>
    <d v="2026-05-27T12:20:00"/>
    <x v="1"/>
    <n v="1300.63"/>
    <n v="4.44"/>
    <x v="0"/>
    <x v="11"/>
  </r>
  <r>
    <x v="817"/>
    <d v="2026-05-27T12:20:00"/>
    <x v="3"/>
    <n v="0.0"/>
    <n v="3.69"/>
    <x v="1"/>
    <x v="11"/>
  </r>
  <r>
    <x v="818"/>
    <d v="2026-05-27T12:20:00"/>
    <x v="0"/>
    <n v="2364.25"/>
    <n v="4.61"/>
    <x v="0"/>
    <x v="11"/>
  </r>
  <r>
    <x v="819"/>
    <d v="2026-05-27T12:20:00"/>
    <x v="1"/>
    <n v="641.18"/>
    <n v="4.14"/>
    <x v="0"/>
    <x v="11"/>
  </r>
  <r>
    <x v="820"/>
    <d v="2026-05-27T12:20:00"/>
    <x v="1"/>
    <n v="1708.33"/>
    <n v="3.91"/>
    <x v="0"/>
    <x v="11"/>
  </r>
  <r>
    <x v="821"/>
    <d v="2026-05-27T12:20:00"/>
    <x v="1"/>
    <n v="1194.63"/>
    <n v="4.83"/>
    <x v="0"/>
    <x v="11"/>
  </r>
  <r>
    <x v="822"/>
    <d v="2026-05-27T12:20:00"/>
    <x v="3"/>
    <n v="1770.23"/>
    <n v="3.47"/>
    <x v="0"/>
    <x v="11"/>
  </r>
  <r>
    <x v="823"/>
    <d v="2026-05-27T12:20:00"/>
    <x v="1"/>
    <n v="2578.68"/>
    <n v="3.04"/>
    <x v="0"/>
    <x v="11"/>
  </r>
  <r>
    <x v="824"/>
    <d v="2026-05-27T12:20:00"/>
    <x v="1"/>
    <n v="0.0"/>
    <n v="5.0"/>
    <x v="1"/>
    <x v="11"/>
  </r>
  <r>
    <x v="825"/>
    <d v="2026-05-27T12:20:00"/>
    <x v="3"/>
    <n v="1230.12"/>
    <n v="3.68"/>
    <x v="0"/>
    <x v="11"/>
  </r>
  <r>
    <x v="826"/>
    <d v="2026-05-27T12:20:00"/>
    <x v="1"/>
    <n v="1047.94"/>
    <n v="4.47"/>
    <x v="0"/>
    <x v="11"/>
  </r>
  <r>
    <x v="827"/>
    <d v="2026-05-27T12:20:00"/>
    <x v="3"/>
    <n v="0.0"/>
    <m/>
    <x v="2"/>
    <x v="11"/>
  </r>
  <r>
    <x v="828"/>
    <d v="2026-05-27T12:20:00"/>
    <x v="1"/>
    <n v="0.0"/>
    <n v="3.69"/>
    <x v="1"/>
    <x v="11"/>
  </r>
  <r>
    <x v="829"/>
    <d v="2026-05-27T12:20:00"/>
    <x v="1"/>
    <n v="0.0"/>
    <n v="3.73"/>
    <x v="1"/>
    <x v="11"/>
  </r>
  <r>
    <x v="830"/>
    <d v="2026-05-27T12:20:00"/>
    <x v="3"/>
    <n v="0.0"/>
    <n v="4.06"/>
    <x v="1"/>
    <x v="11"/>
  </r>
  <r>
    <x v="831"/>
    <d v="2026-05-27T12:20:00"/>
    <x v="2"/>
    <n v="1295.47"/>
    <n v="3.77"/>
    <x v="0"/>
    <x v="11"/>
  </r>
  <r>
    <x v="832"/>
    <d v="2026-05-27T12:20:00"/>
    <x v="2"/>
    <n v="869.69"/>
    <n v="3.6"/>
    <x v="0"/>
    <x v="11"/>
  </r>
  <r>
    <x v="833"/>
    <d v="2026-05-27T12:20:00"/>
    <x v="1"/>
    <n v="497.73"/>
    <n v="3.2"/>
    <x v="0"/>
    <x v="11"/>
  </r>
  <r>
    <x v="834"/>
    <d v="2026-05-27T12:20:00"/>
    <x v="3"/>
    <n v="0.0"/>
    <n v="4.09"/>
    <x v="1"/>
    <x v="11"/>
  </r>
  <r>
    <x v="835"/>
    <d v="2026-05-27T12:20:00"/>
    <x v="0"/>
    <n v="0.0"/>
    <n v="3.93"/>
    <x v="1"/>
    <x v="11"/>
  </r>
  <r>
    <x v="836"/>
    <d v="2026-05-27T12:20:00"/>
    <x v="1"/>
    <n v="776.36"/>
    <n v="3.32"/>
    <x v="0"/>
    <x v="11"/>
  </r>
  <r>
    <x v="837"/>
    <d v="2026-05-27T12:20:00"/>
    <x v="1"/>
    <n v="0.0"/>
    <n v="4.51"/>
    <x v="2"/>
    <x v="11"/>
  </r>
  <r>
    <x v="838"/>
    <d v="2026-05-27T12:20:00"/>
    <x v="2"/>
    <n v="1335.2"/>
    <n v="3.42"/>
    <x v="0"/>
    <x v="11"/>
  </r>
  <r>
    <x v="839"/>
    <d v="2026-05-27T12:20:00"/>
    <x v="0"/>
    <n v="2066.47"/>
    <n v="4.59"/>
    <x v="0"/>
    <x v="11"/>
  </r>
  <r>
    <x v="840"/>
    <d v="2026-05-27T12:20:00"/>
    <x v="2"/>
    <n v="1706.79"/>
    <n v="4.42"/>
    <x v="0"/>
    <x v="11"/>
  </r>
  <r>
    <x v="841"/>
    <d v="2026-05-27T12:20:00"/>
    <x v="2"/>
    <n v="1607.36"/>
    <n v="3.27"/>
    <x v="0"/>
    <x v="11"/>
  </r>
  <r>
    <x v="842"/>
    <d v="2026-05-27T12:20:00"/>
    <x v="3"/>
    <n v="1405.02"/>
    <n v="2.6"/>
    <x v="0"/>
    <x v="11"/>
  </r>
  <r>
    <x v="843"/>
    <d v="2026-05-27T12:20:00"/>
    <x v="3"/>
    <n v="881.64"/>
    <n v="3.78"/>
    <x v="0"/>
    <x v="11"/>
  </r>
  <r>
    <x v="844"/>
    <d v="2026-05-27T12:20:00"/>
    <x v="3"/>
    <n v="1053.56"/>
    <n v="4.48"/>
    <x v="0"/>
    <x v="11"/>
  </r>
  <r>
    <x v="845"/>
    <d v="2026-05-27T12:20:00"/>
    <x v="2"/>
    <n v="0.0"/>
    <m/>
    <x v="1"/>
    <x v="11"/>
  </r>
  <r>
    <x v="846"/>
    <d v="2026-05-27T12:20:00"/>
    <x v="0"/>
    <n v="1787.31"/>
    <n v="4.51"/>
    <x v="0"/>
    <x v="11"/>
  </r>
  <r>
    <x v="847"/>
    <d v="2026-05-27T12:20:00"/>
    <x v="2"/>
    <n v="968.0"/>
    <n v="4.1"/>
    <x v="0"/>
    <x v="11"/>
  </r>
  <r>
    <x v="848"/>
    <d v="2026-05-27T12:20:00"/>
    <x v="2"/>
    <n v="2259.4"/>
    <n v="4.17"/>
    <x v="0"/>
    <x v="11"/>
  </r>
  <r>
    <x v="849"/>
    <d v="2026-05-27T12:20:00"/>
    <x v="0"/>
    <n v="0.0"/>
    <n v="5.0"/>
    <x v="1"/>
    <x v="11"/>
  </r>
  <r>
    <x v="850"/>
    <d v="2026-05-27T12:20:00"/>
    <x v="1"/>
    <n v="0.0"/>
    <n v="3.82"/>
    <x v="1"/>
    <x v="11"/>
  </r>
  <r>
    <x v="851"/>
    <d v="2026-05-27T12:20:00"/>
    <x v="3"/>
    <n v="0.0"/>
    <n v="3.7"/>
    <x v="1"/>
    <x v="11"/>
  </r>
  <r>
    <x v="852"/>
    <d v="2026-05-27T12:20:00"/>
    <x v="0"/>
    <n v="2182.59"/>
    <n v="3.97"/>
    <x v="0"/>
    <x v="11"/>
  </r>
  <r>
    <x v="853"/>
    <d v="2026-05-27T12:20:00"/>
    <x v="1"/>
    <n v="0.0"/>
    <n v="2.95"/>
    <x v="1"/>
    <x v="11"/>
  </r>
  <r>
    <x v="854"/>
    <d v="2026-05-27T12:20:00"/>
    <x v="0"/>
    <n v="1251.45"/>
    <n v="4.12"/>
    <x v="0"/>
    <x v="11"/>
  </r>
  <r>
    <x v="855"/>
    <d v="2026-05-27T12:20:00"/>
    <x v="0"/>
    <n v="845.09"/>
    <n v="3.72"/>
    <x v="0"/>
    <x v="11"/>
  </r>
  <r>
    <x v="856"/>
    <d v="2026-05-27T12:20:00"/>
    <x v="3"/>
    <n v="1286.8"/>
    <n v="3.62"/>
    <x v="0"/>
    <x v="11"/>
  </r>
  <r>
    <x v="857"/>
    <d v="2026-05-27T12:20:00"/>
    <x v="2"/>
    <n v="1233.22"/>
    <n v="2.94"/>
    <x v="0"/>
    <x v="11"/>
  </r>
  <r>
    <x v="858"/>
    <d v="2026-05-27T12:20:00"/>
    <x v="0"/>
    <n v="0.0"/>
    <n v="3.48"/>
    <x v="2"/>
    <x v="11"/>
  </r>
  <r>
    <x v="859"/>
    <d v="2026-05-27T12:25:00"/>
    <x v="0"/>
    <n v="2525.15"/>
    <n v="3.94"/>
    <x v="0"/>
    <x v="12"/>
  </r>
  <r>
    <x v="860"/>
    <d v="2026-05-27T12:25:00"/>
    <x v="2"/>
    <n v="0.0"/>
    <n v="3.98"/>
    <x v="1"/>
    <x v="12"/>
  </r>
  <r>
    <x v="861"/>
    <d v="2026-05-27T12:25:00"/>
    <x v="2"/>
    <n v="1346.26"/>
    <n v="4.83"/>
    <x v="0"/>
    <x v="12"/>
  </r>
  <r>
    <x v="862"/>
    <d v="2026-05-27T12:25:00"/>
    <x v="0"/>
    <n v="0.0"/>
    <n v="3.74"/>
    <x v="1"/>
    <x v="12"/>
  </r>
  <r>
    <x v="863"/>
    <d v="2026-05-27T12:25:00"/>
    <x v="3"/>
    <n v="1039.08"/>
    <n v="3.51"/>
    <x v="0"/>
    <x v="12"/>
  </r>
  <r>
    <x v="864"/>
    <d v="2026-05-27T12:25:00"/>
    <x v="0"/>
    <n v="2714.54"/>
    <n v="4.35"/>
    <x v="0"/>
    <x v="12"/>
  </r>
  <r>
    <x v="865"/>
    <d v="2026-05-27T12:25:00"/>
    <x v="2"/>
    <n v="0.0"/>
    <n v="4.32"/>
    <x v="1"/>
    <x v="12"/>
  </r>
  <r>
    <x v="866"/>
    <d v="2026-05-27T12:25:00"/>
    <x v="0"/>
    <n v="0.0"/>
    <n v="3.62"/>
    <x v="1"/>
    <x v="12"/>
  </r>
  <r>
    <x v="867"/>
    <d v="2026-05-27T12:25:00"/>
    <x v="1"/>
    <n v="1509.56"/>
    <n v="3.27"/>
    <x v="0"/>
    <x v="12"/>
  </r>
  <r>
    <x v="868"/>
    <d v="2026-05-27T12:25:00"/>
    <x v="3"/>
    <n v="0.0"/>
    <n v="2.86"/>
    <x v="1"/>
    <x v="12"/>
  </r>
  <r>
    <x v="869"/>
    <d v="2026-05-27T12:25:00"/>
    <x v="1"/>
    <n v="0.0"/>
    <m/>
    <x v="1"/>
    <x v="12"/>
  </r>
  <r>
    <x v="870"/>
    <d v="2026-05-27T12:25:00"/>
    <x v="3"/>
    <n v="1437.25"/>
    <n v="4.17"/>
    <x v="0"/>
    <x v="12"/>
  </r>
  <r>
    <x v="871"/>
    <d v="2026-05-27T12:25:00"/>
    <x v="0"/>
    <n v="745.36"/>
    <n v="4.21"/>
    <x v="0"/>
    <x v="12"/>
  </r>
  <r>
    <x v="872"/>
    <d v="2026-05-27T12:25:00"/>
    <x v="3"/>
    <n v="390.35"/>
    <n v="3.51"/>
    <x v="0"/>
    <x v="12"/>
  </r>
  <r>
    <x v="873"/>
    <d v="2026-05-27T12:25:00"/>
    <x v="1"/>
    <n v="1669.4"/>
    <n v="3.28"/>
    <x v="0"/>
    <x v="12"/>
  </r>
  <r>
    <x v="874"/>
    <d v="2026-05-27T12:25:00"/>
    <x v="0"/>
    <n v="873.12"/>
    <n v="3.56"/>
    <x v="0"/>
    <x v="12"/>
  </r>
  <r>
    <x v="875"/>
    <d v="2026-05-27T12:25:00"/>
    <x v="2"/>
    <n v="0.0"/>
    <n v="4.71"/>
    <x v="1"/>
    <x v="12"/>
  </r>
  <r>
    <x v="876"/>
    <d v="2026-05-27T12:25:00"/>
    <x v="1"/>
    <n v="0.0"/>
    <m/>
    <x v="1"/>
    <x v="12"/>
  </r>
  <r>
    <x v="877"/>
    <d v="2026-05-27T12:25:00"/>
    <x v="1"/>
    <n v="0.0"/>
    <n v="3.62"/>
    <x v="1"/>
    <x v="12"/>
  </r>
  <r>
    <x v="878"/>
    <d v="2026-05-27T12:25:00"/>
    <x v="0"/>
    <n v="1513.15"/>
    <n v="3.72"/>
    <x v="0"/>
    <x v="12"/>
  </r>
  <r>
    <x v="879"/>
    <d v="2026-05-27T12:25:00"/>
    <x v="0"/>
    <n v="2221.0"/>
    <n v="3.88"/>
    <x v="0"/>
    <x v="12"/>
  </r>
  <r>
    <x v="880"/>
    <d v="2026-05-27T12:25:00"/>
    <x v="0"/>
    <n v="0.0"/>
    <n v="4.23"/>
    <x v="1"/>
    <x v="12"/>
  </r>
  <r>
    <x v="881"/>
    <d v="2026-05-27T12:25:00"/>
    <x v="2"/>
    <n v="1251.8"/>
    <n v="4.01"/>
    <x v="0"/>
    <x v="12"/>
  </r>
  <r>
    <x v="882"/>
    <d v="2026-05-27T12:25:00"/>
    <x v="0"/>
    <n v="1973.18"/>
    <n v="4.41"/>
    <x v="0"/>
    <x v="12"/>
  </r>
  <r>
    <x v="883"/>
    <d v="2026-05-27T12:25:00"/>
    <x v="3"/>
    <n v="0.0"/>
    <n v="3.94"/>
    <x v="1"/>
    <x v="12"/>
  </r>
  <r>
    <x v="884"/>
    <d v="2026-05-27T12:25:00"/>
    <x v="3"/>
    <n v="911.99"/>
    <n v="3.51"/>
    <x v="0"/>
    <x v="12"/>
  </r>
  <r>
    <x v="885"/>
    <d v="2026-05-27T12:25:00"/>
    <x v="1"/>
    <n v="0.0"/>
    <n v="3.41"/>
    <x v="1"/>
    <x v="12"/>
  </r>
  <r>
    <x v="886"/>
    <d v="2026-05-27T12:25:00"/>
    <x v="3"/>
    <n v="1603.05"/>
    <n v="4.57"/>
    <x v="0"/>
    <x v="12"/>
  </r>
  <r>
    <x v="887"/>
    <d v="2026-05-27T12:25:00"/>
    <x v="3"/>
    <n v="1292.2"/>
    <n v="4.32"/>
    <x v="0"/>
    <x v="12"/>
  </r>
  <r>
    <x v="888"/>
    <d v="2026-05-27T12:25:00"/>
    <x v="1"/>
    <n v="903.62"/>
    <n v="3.52"/>
    <x v="0"/>
    <x v="12"/>
  </r>
  <r>
    <x v="889"/>
    <d v="2026-05-27T12:25:00"/>
    <x v="0"/>
    <n v="1116.31"/>
    <m/>
    <x v="0"/>
    <x v="12"/>
  </r>
  <r>
    <x v="890"/>
    <d v="2026-05-27T12:25:00"/>
    <x v="2"/>
    <n v="1487.04"/>
    <n v="3.89"/>
    <x v="0"/>
    <x v="12"/>
  </r>
  <r>
    <x v="891"/>
    <d v="2026-05-27T12:25:00"/>
    <x v="2"/>
    <n v="2327.55"/>
    <n v="4.3"/>
    <x v="0"/>
    <x v="12"/>
  </r>
  <r>
    <x v="892"/>
    <d v="2026-05-27T12:25:00"/>
    <x v="0"/>
    <n v="1740.17"/>
    <n v="4.52"/>
    <x v="0"/>
    <x v="12"/>
  </r>
  <r>
    <x v="893"/>
    <d v="2026-05-27T12:25:00"/>
    <x v="3"/>
    <n v="1159.12"/>
    <n v="5.0"/>
    <x v="0"/>
    <x v="12"/>
  </r>
  <r>
    <x v="894"/>
    <d v="2026-05-27T12:25:00"/>
    <x v="2"/>
    <n v="1318.0"/>
    <m/>
    <x v="0"/>
    <x v="12"/>
  </r>
  <r>
    <x v="895"/>
    <d v="2026-05-27T12:25:00"/>
    <x v="1"/>
    <n v="2169.39"/>
    <n v="4.55"/>
    <x v="0"/>
    <x v="12"/>
  </r>
  <r>
    <x v="896"/>
    <d v="2026-05-27T12:25:00"/>
    <x v="3"/>
    <n v="2241.0"/>
    <n v="4.82"/>
    <x v="0"/>
    <x v="12"/>
  </r>
  <r>
    <x v="897"/>
    <d v="2026-05-27T12:25:00"/>
    <x v="0"/>
    <n v="0.0"/>
    <n v="2.74"/>
    <x v="1"/>
    <x v="12"/>
  </r>
  <r>
    <x v="898"/>
    <d v="2026-05-27T12:25:00"/>
    <x v="0"/>
    <n v="0.0"/>
    <n v="4.37"/>
    <x v="1"/>
    <x v="12"/>
  </r>
  <r>
    <x v="899"/>
    <d v="2026-05-27T12:25:00"/>
    <x v="2"/>
    <n v="527.94"/>
    <n v="4.35"/>
    <x v="0"/>
    <x v="12"/>
  </r>
  <r>
    <x v="900"/>
    <d v="2026-05-27T12:25:00"/>
    <x v="0"/>
    <n v="0.0"/>
    <n v="3.78"/>
    <x v="2"/>
    <x v="12"/>
  </r>
  <r>
    <x v="901"/>
    <d v="2026-05-27T12:25:00"/>
    <x v="1"/>
    <n v="2777.22"/>
    <n v="4.84"/>
    <x v="0"/>
    <x v="12"/>
  </r>
  <r>
    <x v="902"/>
    <d v="2026-05-27T12:25:00"/>
    <x v="3"/>
    <n v="1128.52"/>
    <n v="3.57"/>
    <x v="0"/>
    <x v="12"/>
  </r>
  <r>
    <x v="903"/>
    <d v="2026-05-27T12:25:00"/>
    <x v="2"/>
    <n v="650.66"/>
    <n v="4.31"/>
    <x v="0"/>
    <x v="12"/>
  </r>
  <r>
    <x v="904"/>
    <d v="2026-05-27T12:25:00"/>
    <x v="1"/>
    <n v="2509.8"/>
    <n v="3.86"/>
    <x v="0"/>
    <x v="12"/>
  </r>
  <r>
    <x v="905"/>
    <d v="2026-05-27T12:25:00"/>
    <x v="3"/>
    <n v="542.42"/>
    <n v="3.9"/>
    <x v="0"/>
    <x v="12"/>
  </r>
  <r>
    <x v="906"/>
    <d v="2026-05-27T12:25:00"/>
    <x v="2"/>
    <n v="1181.29"/>
    <n v="2.72"/>
    <x v="0"/>
    <x v="12"/>
  </r>
  <r>
    <x v="907"/>
    <d v="2026-05-27T12:25:00"/>
    <x v="0"/>
    <n v="1599.94"/>
    <n v="4.18"/>
    <x v="0"/>
    <x v="12"/>
  </r>
  <r>
    <x v="908"/>
    <d v="2026-05-27T12:25:00"/>
    <x v="1"/>
    <n v="1167.0"/>
    <n v="3.38"/>
    <x v="0"/>
    <x v="12"/>
  </r>
  <r>
    <x v="909"/>
    <d v="2026-05-27T12:25:00"/>
    <x v="1"/>
    <n v="0.0"/>
    <n v="4.05"/>
    <x v="1"/>
    <x v="12"/>
  </r>
  <r>
    <x v="910"/>
    <d v="2026-05-27T12:25:00"/>
    <x v="0"/>
    <n v="0.0"/>
    <n v="4.47"/>
    <x v="1"/>
    <x v="12"/>
  </r>
  <r>
    <x v="911"/>
    <d v="2026-05-27T12:25:00"/>
    <x v="3"/>
    <n v="710.1"/>
    <n v="4.25"/>
    <x v="0"/>
    <x v="12"/>
  </r>
  <r>
    <x v="912"/>
    <d v="2026-05-27T12:25:00"/>
    <x v="0"/>
    <n v="1687.82"/>
    <n v="3.67"/>
    <x v="0"/>
    <x v="12"/>
  </r>
  <r>
    <x v="913"/>
    <d v="2026-05-27T12:25:00"/>
    <x v="2"/>
    <n v="0.0"/>
    <n v="3.76"/>
    <x v="1"/>
    <x v="12"/>
  </r>
  <r>
    <x v="914"/>
    <d v="2026-05-27T12:25:00"/>
    <x v="3"/>
    <n v="0.0"/>
    <n v="4.34"/>
    <x v="1"/>
    <x v="12"/>
  </r>
  <r>
    <x v="915"/>
    <d v="2026-05-27T12:25:00"/>
    <x v="0"/>
    <n v="1441.08"/>
    <n v="4.58"/>
    <x v="0"/>
    <x v="12"/>
  </r>
  <r>
    <x v="916"/>
    <d v="2026-05-27T12:25:00"/>
    <x v="1"/>
    <n v="2552.66"/>
    <n v="4.26"/>
    <x v="0"/>
    <x v="12"/>
  </r>
  <r>
    <x v="917"/>
    <d v="2026-05-27T12:25:00"/>
    <x v="3"/>
    <n v="1886.26"/>
    <n v="4.03"/>
    <x v="0"/>
    <x v="12"/>
  </r>
  <r>
    <x v="918"/>
    <d v="2026-05-27T12:25:00"/>
    <x v="0"/>
    <n v="1463.1"/>
    <n v="3.77"/>
    <x v="0"/>
    <x v="12"/>
  </r>
  <r>
    <x v="919"/>
    <d v="2026-05-27T12:25:00"/>
    <x v="0"/>
    <n v="1546.58"/>
    <n v="3.79"/>
    <x v="0"/>
    <x v="12"/>
  </r>
  <r>
    <x v="920"/>
    <d v="2026-05-27T12:25:00"/>
    <x v="2"/>
    <n v="1729.91"/>
    <n v="4.39"/>
    <x v="0"/>
    <x v="12"/>
  </r>
  <r>
    <x v="921"/>
    <d v="2026-05-27T12:25:00"/>
    <x v="2"/>
    <n v="1668.59"/>
    <n v="4.08"/>
    <x v="0"/>
    <x v="12"/>
  </r>
  <r>
    <x v="922"/>
    <d v="2026-05-27T12:25:00"/>
    <x v="3"/>
    <n v="740.64"/>
    <n v="4.08"/>
    <x v="0"/>
    <x v="12"/>
  </r>
  <r>
    <x v="923"/>
    <d v="2026-05-27T12:25:00"/>
    <x v="0"/>
    <n v="926.83"/>
    <n v="4.39"/>
    <x v="0"/>
    <x v="12"/>
  </r>
  <r>
    <x v="924"/>
    <d v="2026-05-27T12:25:00"/>
    <x v="0"/>
    <n v="1822.58"/>
    <n v="4.01"/>
    <x v="0"/>
    <x v="12"/>
  </r>
  <r>
    <x v="925"/>
    <d v="2026-05-27T12:25:00"/>
    <x v="0"/>
    <n v="1191.62"/>
    <n v="4.28"/>
    <x v="0"/>
    <x v="12"/>
  </r>
  <r>
    <x v="926"/>
    <d v="2026-05-27T12:25:00"/>
    <x v="2"/>
    <n v="1540.73"/>
    <n v="4.01"/>
    <x v="0"/>
    <x v="12"/>
  </r>
  <r>
    <x v="927"/>
    <d v="2026-05-27T12:25:00"/>
    <x v="1"/>
    <n v="725.52"/>
    <n v="4.77"/>
    <x v="0"/>
    <x v="12"/>
  </r>
  <r>
    <x v="928"/>
    <d v="2026-05-27T12:30:00"/>
    <x v="3"/>
    <n v="1664.9"/>
    <n v="4.8"/>
    <x v="0"/>
    <x v="13"/>
  </r>
  <r>
    <x v="929"/>
    <d v="2026-05-27T12:30:00"/>
    <x v="3"/>
    <n v="1689.39"/>
    <n v="3.59"/>
    <x v="0"/>
    <x v="13"/>
  </r>
  <r>
    <x v="930"/>
    <d v="2026-05-27T12:30:00"/>
    <x v="3"/>
    <n v="2002.33"/>
    <n v="4.46"/>
    <x v="0"/>
    <x v="13"/>
  </r>
  <r>
    <x v="931"/>
    <d v="2026-05-27T12:30:00"/>
    <x v="2"/>
    <n v="0.0"/>
    <n v="2.91"/>
    <x v="1"/>
    <x v="13"/>
  </r>
  <r>
    <x v="932"/>
    <d v="2026-05-27T12:30:00"/>
    <x v="1"/>
    <n v="1499.98"/>
    <n v="4.25"/>
    <x v="0"/>
    <x v="13"/>
  </r>
  <r>
    <x v="933"/>
    <d v="2026-05-27T12:30:00"/>
    <x v="0"/>
    <n v="0.0"/>
    <n v="3.35"/>
    <x v="1"/>
    <x v="13"/>
  </r>
  <r>
    <x v="934"/>
    <d v="2026-05-27T12:30:00"/>
    <x v="2"/>
    <n v="0.0"/>
    <n v="4.32"/>
    <x v="1"/>
    <x v="13"/>
  </r>
  <r>
    <x v="935"/>
    <d v="2026-05-27T12:30:00"/>
    <x v="0"/>
    <n v="1537.94"/>
    <n v="4.32"/>
    <x v="0"/>
    <x v="13"/>
  </r>
  <r>
    <x v="936"/>
    <d v="2026-05-27T12:30:00"/>
    <x v="2"/>
    <n v="3775.63"/>
    <n v="3.84"/>
    <x v="0"/>
    <x v="13"/>
  </r>
  <r>
    <x v="937"/>
    <d v="2026-05-27T12:30:00"/>
    <x v="2"/>
    <n v="1584.56"/>
    <n v="3.58"/>
    <x v="0"/>
    <x v="13"/>
  </r>
  <r>
    <x v="938"/>
    <d v="2026-05-27T12:30:00"/>
    <x v="0"/>
    <n v="0.0"/>
    <n v="3.98"/>
    <x v="2"/>
    <x v="13"/>
  </r>
  <r>
    <x v="939"/>
    <d v="2026-05-27T12:30:00"/>
    <x v="0"/>
    <n v="0.0"/>
    <n v="4.18"/>
    <x v="1"/>
    <x v="13"/>
  </r>
  <r>
    <x v="940"/>
    <d v="2026-05-27T12:30:00"/>
    <x v="1"/>
    <n v="0.0"/>
    <m/>
    <x v="1"/>
    <x v="13"/>
  </r>
  <r>
    <x v="941"/>
    <d v="2026-05-27T12:30:00"/>
    <x v="2"/>
    <n v="0.0"/>
    <n v="3.84"/>
    <x v="1"/>
    <x v="13"/>
  </r>
  <r>
    <x v="942"/>
    <d v="2026-05-27T12:30:00"/>
    <x v="1"/>
    <n v="1713.7"/>
    <n v="3.97"/>
    <x v="0"/>
    <x v="13"/>
  </r>
  <r>
    <x v="943"/>
    <d v="2026-05-27T12:30:00"/>
    <x v="2"/>
    <n v="1886.15"/>
    <n v="4.35"/>
    <x v="0"/>
    <x v="13"/>
  </r>
  <r>
    <x v="944"/>
    <d v="2026-05-27T12:30:00"/>
    <x v="3"/>
    <n v="0.0"/>
    <n v="2.83"/>
    <x v="2"/>
    <x v="13"/>
  </r>
  <r>
    <x v="945"/>
    <d v="2026-05-27T12:30:00"/>
    <x v="0"/>
    <n v="0.0"/>
    <n v="3.91"/>
    <x v="1"/>
    <x v="13"/>
  </r>
  <r>
    <x v="946"/>
    <d v="2026-05-27T12:30:00"/>
    <x v="1"/>
    <n v="1112.86"/>
    <n v="4.32"/>
    <x v="0"/>
    <x v="13"/>
  </r>
  <r>
    <x v="947"/>
    <d v="2026-05-27T12:30:00"/>
    <x v="1"/>
    <n v="1736.88"/>
    <m/>
    <x v="0"/>
    <x v="13"/>
  </r>
  <r>
    <x v="948"/>
    <d v="2026-05-27T12:30:00"/>
    <x v="2"/>
    <n v="1036.07"/>
    <n v="4.26"/>
    <x v="0"/>
    <x v="13"/>
  </r>
  <r>
    <x v="949"/>
    <d v="2026-05-27T12:30:00"/>
    <x v="1"/>
    <n v="1251.42"/>
    <n v="3.12"/>
    <x v="0"/>
    <x v="13"/>
  </r>
  <r>
    <x v="950"/>
    <d v="2026-05-27T12:30:00"/>
    <x v="3"/>
    <n v="1504.36"/>
    <n v="4.53"/>
    <x v="0"/>
    <x v="13"/>
  </r>
  <r>
    <x v="951"/>
    <d v="2026-05-27T12:30:00"/>
    <x v="3"/>
    <n v="0.0"/>
    <m/>
    <x v="1"/>
    <x v="13"/>
  </r>
  <r>
    <x v="952"/>
    <d v="2026-05-27T12:30:00"/>
    <x v="1"/>
    <n v="0.0"/>
    <n v="4.02"/>
    <x v="1"/>
    <x v="13"/>
  </r>
  <r>
    <x v="953"/>
    <d v="2026-05-27T12:30:00"/>
    <x v="2"/>
    <n v="1386.4"/>
    <n v="4.7"/>
    <x v="0"/>
    <x v="13"/>
  </r>
  <r>
    <x v="954"/>
    <d v="2026-05-27T12:30:00"/>
    <x v="0"/>
    <n v="1006.93"/>
    <n v="4.47"/>
    <x v="0"/>
    <x v="13"/>
  </r>
  <r>
    <x v="955"/>
    <d v="2026-05-27T12:30:00"/>
    <x v="2"/>
    <n v="1697.85"/>
    <n v="4.36"/>
    <x v="0"/>
    <x v="13"/>
  </r>
  <r>
    <x v="956"/>
    <d v="2026-05-27T12:30:00"/>
    <x v="2"/>
    <n v="1167.18"/>
    <m/>
    <x v="0"/>
    <x v="13"/>
  </r>
  <r>
    <x v="957"/>
    <d v="2026-05-27T12:30:00"/>
    <x v="0"/>
    <n v="1300.65"/>
    <n v="4.76"/>
    <x v="0"/>
    <x v="13"/>
  </r>
  <r>
    <x v="958"/>
    <d v="2026-05-27T12:30:00"/>
    <x v="1"/>
    <n v="1160.13"/>
    <m/>
    <x v="0"/>
    <x v="13"/>
  </r>
  <r>
    <x v="959"/>
    <d v="2026-05-27T12:30:00"/>
    <x v="2"/>
    <n v="0.0"/>
    <m/>
    <x v="1"/>
    <x v="13"/>
  </r>
  <r>
    <x v="960"/>
    <d v="2026-05-27T12:30:00"/>
    <x v="2"/>
    <n v="1401.17"/>
    <n v="3.65"/>
    <x v="0"/>
    <x v="13"/>
  </r>
  <r>
    <x v="961"/>
    <d v="2026-05-27T12:30:00"/>
    <x v="2"/>
    <n v="0.0"/>
    <n v="4.33"/>
    <x v="1"/>
    <x v="13"/>
  </r>
  <r>
    <x v="962"/>
    <d v="2026-05-27T12:30:00"/>
    <x v="0"/>
    <n v="1773.99"/>
    <n v="4.94"/>
    <x v="0"/>
    <x v="13"/>
  </r>
  <r>
    <x v="963"/>
    <d v="2026-05-27T12:30:00"/>
    <x v="1"/>
    <n v="908.86"/>
    <n v="4.17"/>
    <x v="0"/>
    <x v="13"/>
  </r>
  <r>
    <x v="964"/>
    <d v="2026-05-27T12:30:00"/>
    <x v="0"/>
    <n v="1613.89"/>
    <n v="4.08"/>
    <x v="0"/>
    <x v="13"/>
  </r>
  <r>
    <x v="965"/>
    <d v="2026-05-27T12:30:00"/>
    <x v="0"/>
    <n v="1326.83"/>
    <n v="4.02"/>
    <x v="0"/>
    <x v="13"/>
  </r>
  <r>
    <x v="966"/>
    <d v="2026-05-27T12:30:00"/>
    <x v="2"/>
    <n v="1922.09"/>
    <n v="3.72"/>
    <x v="0"/>
    <x v="13"/>
  </r>
  <r>
    <x v="967"/>
    <d v="2026-05-27T12:30:00"/>
    <x v="2"/>
    <n v="1319.07"/>
    <n v="3.95"/>
    <x v="0"/>
    <x v="13"/>
  </r>
  <r>
    <x v="968"/>
    <d v="2026-05-27T12:30:00"/>
    <x v="2"/>
    <n v="0.0"/>
    <n v="4.06"/>
    <x v="2"/>
    <x v="13"/>
  </r>
  <r>
    <x v="969"/>
    <d v="2026-05-27T12:30:00"/>
    <x v="2"/>
    <n v="1793.8"/>
    <n v="3.66"/>
    <x v="0"/>
    <x v="13"/>
  </r>
  <r>
    <x v="970"/>
    <d v="2026-05-27T12:30:00"/>
    <x v="1"/>
    <n v="0.0"/>
    <m/>
    <x v="1"/>
    <x v="13"/>
  </r>
  <r>
    <x v="971"/>
    <d v="2026-05-27T12:30:00"/>
    <x v="3"/>
    <n v="0.0"/>
    <n v="3.86"/>
    <x v="1"/>
    <x v="13"/>
  </r>
  <r>
    <x v="972"/>
    <d v="2026-05-27T12:30:00"/>
    <x v="2"/>
    <n v="0.0"/>
    <n v="4.3"/>
    <x v="1"/>
    <x v="13"/>
  </r>
  <r>
    <x v="973"/>
    <d v="2026-05-27T12:30:00"/>
    <x v="1"/>
    <n v="0.0"/>
    <n v="3.91"/>
    <x v="2"/>
    <x v="13"/>
  </r>
  <r>
    <x v="974"/>
    <d v="2026-05-27T12:30:00"/>
    <x v="1"/>
    <n v="550.48"/>
    <n v="4.02"/>
    <x v="0"/>
    <x v="13"/>
  </r>
  <r>
    <x v="975"/>
    <d v="2026-05-27T12:30:00"/>
    <x v="1"/>
    <n v="0.0"/>
    <n v="4.22"/>
    <x v="1"/>
    <x v="13"/>
  </r>
  <r>
    <x v="976"/>
    <d v="2026-05-27T12:30:00"/>
    <x v="1"/>
    <n v="1705.95"/>
    <n v="4.89"/>
    <x v="0"/>
    <x v="13"/>
  </r>
  <r>
    <x v="977"/>
    <d v="2026-05-27T12:30:00"/>
    <x v="2"/>
    <n v="1207.93"/>
    <m/>
    <x v="0"/>
    <x v="13"/>
  </r>
  <r>
    <x v="978"/>
    <d v="2026-05-27T12:30:00"/>
    <x v="2"/>
    <n v="0.0"/>
    <m/>
    <x v="1"/>
    <x v="13"/>
  </r>
  <r>
    <x v="979"/>
    <d v="2026-05-27T12:30:00"/>
    <x v="1"/>
    <n v="3135.84"/>
    <n v="3.45"/>
    <x v="0"/>
    <x v="13"/>
  </r>
  <r>
    <x v="980"/>
    <d v="2026-05-27T12:30:00"/>
    <x v="1"/>
    <n v="1434.59"/>
    <n v="4.52"/>
    <x v="0"/>
    <x v="13"/>
  </r>
  <r>
    <x v="981"/>
    <d v="2026-05-27T12:30:00"/>
    <x v="0"/>
    <n v="2005.62"/>
    <m/>
    <x v="0"/>
    <x v="13"/>
  </r>
  <r>
    <x v="982"/>
    <d v="2026-05-27T12:30:00"/>
    <x v="0"/>
    <n v="1292.53"/>
    <n v="4.62"/>
    <x v="0"/>
    <x v="13"/>
  </r>
  <r>
    <x v="983"/>
    <d v="2026-05-27T12:30:00"/>
    <x v="0"/>
    <n v="0.0"/>
    <n v="3.29"/>
    <x v="2"/>
    <x v="13"/>
  </r>
  <r>
    <x v="984"/>
    <d v="2026-05-27T12:30:00"/>
    <x v="1"/>
    <n v="1631.91"/>
    <n v="4.14"/>
    <x v="0"/>
    <x v="13"/>
  </r>
  <r>
    <x v="985"/>
    <d v="2026-05-27T12:30:00"/>
    <x v="3"/>
    <n v="879.28"/>
    <n v="3.45"/>
    <x v="0"/>
    <x v="13"/>
  </r>
  <r>
    <x v="986"/>
    <d v="2026-05-27T12:30:00"/>
    <x v="0"/>
    <n v="1142.45"/>
    <n v="2.77"/>
    <x v="0"/>
    <x v="13"/>
  </r>
  <r>
    <x v="987"/>
    <d v="2026-05-27T12:30:00"/>
    <x v="1"/>
    <n v="0.0"/>
    <n v="3.68"/>
    <x v="1"/>
    <x v="13"/>
  </r>
  <r>
    <x v="988"/>
    <d v="2026-05-27T12:30:00"/>
    <x v="1"/>
    <n v="1778.2"/>
    <n v="4.51"/>
    <x v="0"/>
    <x v="13"/>
  </r>
  <r>
    <x v="989"/>
    <d v="2026-05-27T12:30:00"/>
    <x v="3"/>
    <n v="2901.94"/>
    <n v="5.0"/>
    <x v="0"/>
    <x v="13"/>
  </r>
  <r>
    <x v="990"/>
    <d v="2026-05-27T12:30:00"/>
    <x v="3"/>
    <n v="1197.52"/>
    <n v="3.52"/>
    <x v="0"/>
    <x v="13"/>
  </r>
  <r>
    <x v="991"/>
    <d v="2026-05-27T12:30:00"/>
    <x v="2"/>
    <n v="889.01"/>
    <n v="4.05"/>
    <x v="0"/>
    <x v="13"/>
  </r>
  <r>
    <x v="992"/>
    <d v="2026-05-27T12:30:00"/>
    <x v="0"/>
    <n v="1725.25"/>
    <n v="4.62"/>
    <x v="0"/>
    <x v="13"/>
  </r>
  <r>
    <x v="993"/>
    <d v="2026-05-27T12:30:00"/>
    <x v="1"/>
    <n v="1422.36"/>
    <m/>
    <x v="0"/>
    <x v="13"/>
  </r>
  <r>
    <x v="994"/>
    <d v="2026-05-27T12:30:00"/>
    <x v="3"/>
    <n v="614.59"/>
    <n v="3.4"/>
    <x v="0"/>
    <x v="13"/>
  </r>
  <r>
    <x v="995"/>
    <d v="2026-05-27T12:30:00"/>
    <x v="2"/>
    <n v="776.75"/>
    <n v="4.52"/>
    <x v="0"/>
    <x v="13"/>
  </r>
  <r>
    <x v="996"/>
    <d v="2026-05-27T12:30:00"/>
    <x v="1"/>
    <n v="1313.09"/>
    <n v="3.93"/>
    <x v="0"/>
    <x v="13"/>
  </r>
  <r>
    <x v="997"/>
    <d v="2026-05-27T12:30:00"/>
    <x v="1"/>
    <n v="867.43"/>
    <n v="4.33"/>
    <x v="0"/>
    <x v="13"/>
  </r>
  <r>
    <x v="998"/>
    <d v="2026-05-27T12:30:00"/>
    <x v="3"/>
    <n v="1768.96"/>
    <n v="4.27"/>
    <x v="0"/>
    <x v="13"/>
  </r>
  <r>
    <x v="999"/>
    <d v="2026-05-27T12:30:00"/>
    <x v="2"/>
    <n v="1586.79"/>
    <n v="3.78"/>
    <x v="0"/>
    <x v="13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Status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7" firstHeaderRow="0" firstDataRow="1" firstDataCol="1"/>
  <pivotFields count="7">
    <pivotField dataField="1"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axis="axisRow" showAll="0" multipleItemSelectionAllowed="1">
      <items count="4">
        <item x="0"/>
        <item x="1"/>
        <item x="2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ides" fld="0" subtotal="count" baseField="0" baseItem="0" numFmtId="3"/>
    <dataField name="% of Total" fld="0" subtotal="count" showDataAs="percentOfTotal" baseField="0" baseItem="0" numFmtId="9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LocRides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7">
    <pivotField dataField="1" showAll="0"/>
    <pivotField showAll="0"/>
    <pivotField axis="axisRow" showAll="0" multipleItemSelectionAllowed="1">
      <items count="5">
        <item x="0"/>
        <item x="1"/>
        <item x="2"/>
        <item x="3"/>
        <item t="default"/>
      </items>
    </pivotField>
    <pivotField showAll="0"/>
    <pivotField showAll="0"/>
    <pivotField showAll="0" multipleItemSelectionAllowed="1">
      <items count="4">
        <item x="0"/>
        <item x="1"/>
        <item x="2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ides" fld="0" subtotal="count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LocRevenue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7">
    <pivotField showAll="0"/>
    <pivotField showAll="0"/>
    <pivotField axis="axisRow" showAll="0" multipleItemSelectionAllowed="1">
      <items count="5">
        <item x="0"/>
        <item x="1"/>
        <item x="2"/>
        <item x="3"/>
        <item t="default"/>
      </items>
    </pivotField>
    <pivotField dataField="1" showAll="0"/>
    <pivotField showAll="0"/>
    <pivotField showAll="0" multipleItemSelectionAllowed="1">
      <items count="4">
        <item x="0"/>
        <item x="1"/>
        <item x="2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3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Trend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8" firstHeaderRow="0" firstDataRow="1" firstDataCol="1"/>
  <pivotFields count="7">
    <pivotField dataField="1" showAll="0"/>
    <pivotField showAll="0"/>
    <pivotField showAll="0" multipleItemSelectionAllowed="1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 multipleItemSelectionAllowed="1">
      <items count="4">
        <item x="0"/>
        <item x="1"/>
        <item x="2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ides" fld="0" subtotal="count" baseField="0" baseItem="0" numFmtId="3"/>
    <dataField name="Total Revenue" fld="3" baseField="0" baseItem="0" numFmtId="3"/>
    <dataField name="Rating Sum" fld="4" baseField="0" baseItem="0" numFmtId="4"/>
    <dataField name="Rated Rides" fld="4" subtotal="count" baseField="0" baseItem="0" numFmtId="3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ickup_location" sourceName="pickup_location">
  <pivotTables>
    <pivotTable tabId="2" name="ptStatus"/>
    <pivotTable tabId="3" name="ptLocRides"/>
    <pivotTable tabId="4" name="ptLocRevenue"/>
    <pivotTable tabId="5" name="ptTrend"/>
  </pivotTables>
  <data>
    <tabular pivotCacheId="1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ide_status" sourceName="ride_status">
  <pivotTables>
    <pivotTable tabId="2" name="ptStatus"/>
    <pivotTable tabId="3" name="ptLocRides"/>
    <pivotTable tabId="4" name="ptLocRevenue"/>
    <pivotTable tabId="5" name="ptTrend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ickup Location" cache="Slicer_pickup_location" caption="Pickup Location" showCaption="0" columnCount="2" style="SlicerStyleLight1" rowHeight="171450"/>
  <slicer name="Ride Status" cache="Slicer_ride_status" caption="Ride Status" showCaption="0" columnCount="1" style="SlicerStyleLight1" rowHeight="171450"/>
</slicers>
</file>

<file path=xl/tables/table1.xml><?xml version="1.0" encoding="utf-8"?>
<table xmlns="http://schemas.openxmlformats.org/spreadsheetml/2006/main" id="1" name="RideData" displayName="RideData" ref="A1:G1001" totalsRowShown="0">
  <autoFilter ref="A1:G1001"/>
  <tableColumns count="7">
    <tableColumn id="1" name="ride_id"/>
    <tableColumn id="2" name="timestamp"/>
    <tableColumn id="3" name="pickup_location"/>
    <tableColumn id="4" name="fare_amount"/>
    <tableColumn id="5" name="driver_rating"/>
    <tableColumn id="6" name="ride_status"/>
    <tableColumn id="7" name="time_slot">
      <calculatedColumnFormula>TEXT([[#This Row],timestamp],"hh:mm")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90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0.7109375" style="2" customWidth="1"/>
    <col min="3" max="3" width="18.7109375" style="1" customWidth="1"/>
    <col min="4" max="5" width="14.7109375" style="3" customWidth="1"/>
    <col min="6" max="6" width="22.7109375" style="1" customWidth="1"/>
    <col min="7" max="7" width="11.7109375" style="1" customWidth="1"/>
    <col min="9" max="9" width="70.7109375" customWidth="1"/>
  </cols>
  <sheetData>
    <row r="1" spans="1:9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I1" s="4" t="s">
        <v>1028</v>
      </c>
    </row>
    <row r="2" spans="1:9">
      <c r="A2" s="1" t="s">
        <v>7</v>
      </c>
      <c r="B2" s="2">
        <v>46169.47569444445</v>
      </c>
      <c r="C2" s="1" t="s">
        <v>8</v>
      </c>
      <c r="D2" s="3">
        <v>501.83</v>
      </c>
      <c r="E2" s="3">
        <v>3.47</v>
      </c>
      <c r="F2" s="1" t="s">
        <v>9</v>
      </c>
      <c r="G2" s="1" t="str">
        <f>TEXT(RideData[[#This Row],[timestamp]],"hh:mm")</f>
        <v>11:25</v>
      </c>
      <c r="I2" s="5" t="s">
        <v>1029</v>
      </c>
    </row>
    <row r="3" spans="1:9">
      <c r="A3" s="1" t="s">
        <v>11</v>
      </c>
      <c r="B3" s="2">
        <v>46169.47569444445</v>
      </c>
      <c r="C3" s="1" t="s">
        <v>12</v>
      </c>
      <c r="D3" s="3">
        <v>1770.4</v>
      </c>
      <c r="F3" s="1" t="s">
        <v>9</v>
      </c>
      <c r="G3" s="1" t="str">
        <f>TEXT(RideData[[#This Row],[timestamp]],"hh:mm")</f>
        <v>11:25</v>
      </c>
      <c r="I3" s="5" t="s">
        <v>1030</v>
      </c>
    </row>
    <row r="4" spans="1:9">
      <c r="A4" s="1" t="s">
        <v>13</v>
      </c>
      <c r="B4" s="2">
        <v>46169.47569444445</v>
      </c>
      <c r="C4" s="1" t="s">
        <v>12</v>
      </c>
      <c r="D4" s="3">
        <v>1726.32</v>
      </c>
      <c r="E4" s="3">
        <v>3.87</v>
      </c>
      <c r="F4" s="1" t="s">
        <v>9</v>
      </c>
      <c r="G4" s="1" t="str">
        <f>TEXT(RideData[[#This Row],[timestamp]],"hh:mm")</f>
        <v>11:25</v>
      </c>
      <c r="I4" s="5" t="s">
        <v>1031</v>
      </c>
    </row>
    <row r="5" spans="1:9">
      <c r="A5" s="1" t="s">
        <v>14</v>
      </c>
      <c r="B5" s="2">
        <v>46169.47569444445</v>
      </c>
      <c r="C5" s="1" t="s">
        <v>12</v>
      </c>
      <c r="D5" s="3">
        <v>0</v>
      </c>
      <c r="E5" s="3">
        <v>3.99</v>
      </c>
      <c r="F5" s="1" t="s">
        <v>15</v>
      </c>
      <c r="G5" s="1" t="str">
        <f>TEXT(RideData[[#This Row],[timestamp]],"hh:mm")</f>
        <v>11:25</v>
      </c>
      <c r="I5" s="5" t="s">
        <v>1032</v>
      </c>
    </row>
    <row r="6" spans="1:9">
      <c r="A6" s="1" t="s">
        <v>16</v>
      </c>
      <c r="B6" s="2">
        <v>46169.47569444445</v>
      </c>
      <c r="C6" s="1" t="s">
        <v>8</v>
      </c>
      <c r="D6" s="3">
        <v>0</v>
      </c>
      <c r="E6" s="3">
        <v>4.07</v>
      </c>
      <c r="F6" s="1" t="s">
        <v>17</v>
      </c>
      <c r="G6" s="1" t="str">
        <f>TEXT(RideData[[#This Row],[timestamp]],"hh:mm")</f>
        <v>11:25</v>
      </c>
      <c r="I6" s="5" t="s">
        <v>1033</v>
      </c>
    </row>
    <row r="7" spans="1:9">
      <c r="A7" s="1" t="s">
        <v>18</v>
      </c>
      <c r="B7" s="2">
        <v>46169.47569444445</v>
      </c>
      <c r="C7" s="1" t="s">
        <v>19</v>
      </c>
      <c r="D7" s="3">
        <v>0</v>
      </c>
      <c r="E7" s="3">
        <v>3.91</v>
      </c>
      <c r="F7" s="1" t="s">
        <v>15</v>
      </c>
      <c r="G7" s="1" t="str">
        <f>TEXT(RideData[[#This Row],[timestamp]],"hh:mm")</f>
        <v>11:25</v>
      </c>
      <c r="I7" s="5" t="s">
        <v>1034</v>
      </c>
    </row>
    <row r="8" spans="1:9">
      <c r="A8" s="1" t="s">
        <v>20</v>
      </c>
      <c r="B8" s="2">
        <v>46169.47569444445</v>
      </c>
      <c r="C8" s="1" t="s">
        <v>21</v>
      </c>
      <c r="D8" s="3">
        <v>2542.08</v>
      </c>
      <c r="F8" s="1" t="s">
        <v>9</v>
      </c>
      <c r="G8" s="1" t="str">
        <f>TEXT(RideData[[#This Row],[timestamp]],"hh:mm")</f>
        <v>11:25</v>
      </c>
      <c r="I8" s="5" t="s">
        <v>1035</v>
      </c>
    </row>
    <row r="9" spans="1:9">
      <c r="A9" s="1" t="s">
        <v>22</v>
      </c>
      <c r="B9" s="2">
        <v>46169.47569444445</v>
      </c>
      <c r="C9" s="1" t="s">
        <v>12</v>
      </c>
      <c r="D9" s="3">
        <v>0</v>
      </c>
      <c r="E9" s="3">
        <v>3.48</v>
      </c>
      <c r="F9" s="1" t="s">
        <v>17</v>
      </c>
      <c r="G9" s="1" t="str">
        <f>TEXT(RideData[[#This Row],[timestamp]],"hh:mm")</f>
        <v>11:25</v>
      </c>
    </row>
    <row r="10" spans="1:9">
      <c r="A10" s="1" t="s">
        <v>23</v>
      </c>
      <c r="B10" s="2">
        <v>46169.47569444445</v>
      </c>
      <c r="C10" s="1" t="s">
        <v>21</v>
      </c>
      <c r="D10" s="3">
        <v>0</v>
      </c>
      <c r="E10" s="3">
        <v>4.68</v>
      </c>
      <c r="F10" s="1" t="s">
        <v>15</v>
      </c>
      <c r="G10" s="1" t="str">
        <f>TEXT(RideData[[#This Row],[timestamp]],"hh:mm")</f>
        <v>11:25</v>
      </c>
    </row>
    <row r="11" spans="1:9">
      <c r="A11" s="1" t="s">
        <v>24</v>
      </c>
      <c r="B11" s="2">
        <v>46169.47569444445</v>
      </c>
      <c r="C11" s="1" t="s">
        <v>12</v>
      </c>
      <c r="D11" s="3">
        <v>2491.49</v>
      </c>
      <c r="E11" s="3">
        <v>3.52</v>
      </c>
      <c r="F11" s="1" t="s">
        <v>9</v>
      </c>
      <c r="G11" s="1" t="str">
        <f>TEXT(RideData[[#This Row],[timestamp]],"hh:mm")</f>
        <v>11:25</v>
      </c>
    </row>
    <row r="12" spans="1:9">
      <c r="A12" s="1" t="s">
        <v>25</v>
      </c>
      <c r="B12" s="2">
        <v>46169.47569444445</v>
      </c>
      <c r="C12" s="1" t="s">
        <v>21</v>
      </c>
      <c r="D12" s="3">
        <v>1903.22</v>
      </c>
      <c r="E12" s="3">
        <v>4.33</v>
      </c>
      <c r="F12" s="1" t="s">
        <v>9</v>
      </c>
      <c r="G12" s="1" t="str">
        <f>TEXT(RideData[[#This Row],[timestamp]],"hh:mm")</f>
        <v>11:25</v>
      </c>
    </row>
    <row r="13" spans="1:9">
      <c r="A13" s="1" t="s">
        <v>26</v>
      </c>
      <c r="B13" s="2">
        <v>46169.47569444445</v>
      </c>
      <c r="C13" s="1" t="s">
        <v>12</v>
      </c>
      <c r="D13" s="3">
        <v>2249.77</v>
      </c>
      <c r="E13" s="3">
        <v>3.71</v>
      </c>
      <c r="F13" s="1" t="s">
        <v>9</v>
      </c>
      <c r="G13" s="1" t="str">
        <f>TEXT(RideData[[#This Row],[timestamp]],"hh:mm")</f>
        <v>11:25</v>
      </c>
    </row>
    <row r="14" spans="1:9">
      <c r="A14" s="1" t="s">
        <v>27</v>
      </c>
      <c r="B14" s="2">
        <v>46169.47569444445</v>
      </c>
      <c r="C14" s="1" t="s">
        <v>12</v>
      </c>
      <c r="D14" s="3">
        <v>0</v>
      </c>
      <c r="E14" s="3">
        <v>3.03</v>
      </c>
      <c r="F14" s="1" t="s">
        <v>15</v>
      </c>
      <c r="G14" s="1" t="str">
        <f>TEXT(RideData[[#This Row],[timestamp]],"hh:mm")</f>
        <v>11:25</v>
      </c>
    </row>
    <row r="15" spans="1:9">
      <c r="A15" s="1" t="s">
        <v>28</v>
      </c>
      <c r="B15" s="2">
        <v>46169.47569444445</v>
      </c>
      <c r="C15" s="1" t="s">
        <v>21</v>
      </c>
      <c r="D15" s="3">
        <v>2055.68</v>
      </c>
      <c r="E15" s="3">
        <v>4.08</v>
      </c>
      <c r="F15" s="1" t="s">
        <v>9</v>
      </c>
      <c r="G15" s="1" t="str">
        <f>TEXT(RideData[[#This Row],[timestamp]],"hh:mm")</f>
        <v>11:25</v>
      </c>
    </row>
    <row r="16" spans="1:9">
      <c r="A16" s="1" t="s">
        <v>29</v>
      </c>
      <c r="B16" s="2">
        <v>46169.47569444445</v>
      </c>
      <c r="C16" s="1" t="s">
        <v>12</v>
      </c>
      <c r="D16" s="3">
        <v>0</v>
      </c>
      <c r="E16" s="3">
        <v>4.13</v>
      </c>
      <c r="F16" s="1" t="s">
        <v>15</v>
      </c>
      <c r="G16" s="1" t="str">
        <f>TEXT(RideData[[#This Row],[timestamp]],"hh:mm")</f>
        <v>11:25</v>
      </c>
    </row>
    <row r="17" spans="1:7">
      <c r="A17" s="1" t="s">
        <v>30</v>
      </c>
      <c r="B17" s="2">
        <v>46169.47569444445</v>
      </c>
      <c r="C17" s="1" t="s">
        <v>21</v>
      </c>
      <c r="D17" s="3">
        <v>1573.52</v>
      </c>
      <c r="E17" s="3">
        <v>4.43</v>
      </c>
      <c r="F17" s="1" t="s">
        <v>9</v>
      </c>
      <c r="G17" s="1" t="str">
        <f>TEXT(RideData[[#This Row],[timestamp]],"hh:mm")</f>
        <v>11:25</v>
      </c>
    </row>
    <row r="18" spans="1:7">
      <c r="A18" s="1" t="s">
        <v>31</v>
      </c>
      <c r="B18" s="2">
        <v>46169.47569444445</v>
      </c>
      <c r="C18" s="1" t="s">
        <v>21</v>
      </c>
      <c r="D18" s="3">
        <v>1014.65</v>
      </c>
      <c r="F18" s="1" t="s">
        <v>9</v>
      </c>
      <c r="G18" s="1" t="str">
        <f>TEXT(RideData[[#This Row],[timestamp]],"hh:mm")</f>
        <v>11:25</v>
      </c>
    </row>
    <row r="19" spans="1:7">
      <c r="A19" s="1" t="s">
        <v>32</v>
      </c>
      <c r="B19" s="2">
        <v>46169.47569444445</v>
      </c>
      <c r="C19" s="1" t="s">
        <v>8</v>
      </c>
      <c r="D19" s="3">
        <v>1252.48</v>
      </c>
      <c r="E19" s="3">
        <v>3.5</v>
      </c>
      <c r="F19" s="1" t="s">
        <v>9</v>
      </c>
      <c r="G19" s="1" t="str">
        <f>TEXT(RideData[[#This Row],[timestamp]],"hh:mm")</f>
        <v>11:25</v>
      </c>
    </row>
    <row r="20" spans="1:7">
      <c r="A20" s="1" t="s">
        <v>33</v>
      </c>
      <c r="B20" s="2">
        <v>46169.47569444445</v>
      </c>
      <c r="C20" s="1" t="s">
        <v>12</v>
      </c>
      <c r="D20" s="3">
        <v>1164.56</v>
      </c>
      <c r="E20" s="3">
        <v>3.48</v>
      </c>
      <c r="F20" s="1" t="s">
        <v>9</v>
      </c>
      <c r="G20" s="1" t="str">
        <f>TEXT(RideData[[#This Row],[timestamp]],"hh:mm")</f>
        <v>11:25</v>
      </c>
    </row>
    <row r="21" spans="1:7">
      <c r="A21" s="1" t="s">
        <v>34</v>
      </c>
      <c r="B21" s="2">
        <v>46169.47569444445</v>
      </c>
      <c r="C21" s="1" t="s">
        <v>21</v>
      </c>
      <c r="D21" s="3">
        <v>0</v>
      </c>
      <c r="E21" s="3">
        <v>4.49</v>
      </c>
      <c r="F21" s="1" t="s">
        <v>17</v>
      </c>
      <c r="G21" s="1" t="str">
        <f>TEXT(RideData[[#This Row],[timestamp]],"hh:mm")</f>
        <v>11:25</v>
      </c>
    </row>
    <row r="22" spans="1:7">
      <c r="A22" s="1" t="s">
        <v>35</v>
      </c>
      <c r="B22" s="2">
        <v>46169.47569444445</v>
      </c>
      <c r="C22" s="1" t="s">
        <v>8</v>
      </c>
      <c r="D22" s="3">
        <v>1029.07</v>
      </c>
      <c r="E22" s="3">
        <v>5</v>
      </c>
      <c r="F22" s="1" t="s">
        <v>9</v>
      </c>
      <c r="G22" s="1" t="str">
        <f>TEXT(RideData[[#This Row],[timestamp]],"hh:mm")</f>
        <v>11:25</v>
      </c>
    </row>
    <row r="23" spans="1:7">
      <c r="A23" s="1" t="s">
        <v>36</v>
      </c>
      <c r="B23" s="2">
        <v>46169.47569444445</v>
      </c>
      <c r="C23" s="1" t="s">
        <v>21</v>
      </c>
      <c r="D23" s="3">
        <v>589.86</v>
      </c>
      <c r="E23" s="3">
        <v>4.16</v>
      </c>
      <c r="F23" s="1" t="s">
        <v>9</v>
      </c>
      <c r="G23" s="1" t="str">
        <f>TEXT(RideData[[#This Row],[timestamp]],"hh:mm")</f>
        <v>11:25</v>
      </c>
    </row>
    <row r="24" spans="1:7">
      <c r="A24" s="1" t="s">
        <v>37</v>
      </c>
      <c r="B24" s="2">
        <v>46169.47569444445</v>
      </c>
      <c r="C24" s="1" t="s">
        <v>19</v>
      </c>
      <c r="D24" s="3">
        <v>1098.01</v>
      </c>
      <c r="E24" s="3">
        <v>3.19</v>
      </c>
      <c r="F24" s="1" t="s">
        <v>9</v>
      </c>
      <c r="G24" s="1" t="str">
        <f>TEXT(RideData[[#This Row],[timestamp]],"hh:mm")</f>
        <v>11:25</v>
      </c>
    </row>
    <row r="25" spans="1:7">
      <c r="A25" s="1" t="s">
        <v>38</v>
      </c>
      <c r="B25" s="2">
        <v>46169.47569444445</v>
      </c>
      <c r="C25" s="1" t="s">
        <v>21</v>
      </c>
      <c r="D25" s="3">
        <v>1463.23</v>
      </c>
      <c r="E25" s="3">
        <v>3.86</v>
      </c>
      <c r="F25" s="1" t="s">
        <v>9</v>
      </c>
      <c r="G25" s="1" t="str">
        <f>TEXT(RideData[[#This Row],[timestamp]],"hh:mm")</f>
        <v>11:25</v>
      </c>
    </row>
    <row r="26" spans="1:7">
      <c r="A26" s="1" t="s">
        <v>39</v>
      </c>
      <c r="B26" s="2">
        <v>46169.47569444445</v>
      </c>
      <c r="C26" s="1" t="s">
        <v>19</v>
      </c>
      <c r="D26" s="3">
        <v>1501.97</v>
      </c>
      <c r="E26" s="3">
        <v>4.08</v>
      </c>
      <c r="F26" s="1" t="s">
        <v>9</v>
      </c>
      <c r="G26" s="1" t="str">
        <f>TEXT(RideData[[#This Row],[timestamp]],"hh:mm")</f>
        <v>11:25</v>
      </c>
    </row>
    <row r="27" spans="1:7">
      <c r="A27" s="1" t="s">
        <v>40</v>
      </c>
      <c r="B27" s="2">
        <v>46169.47569444445</v>
      </c>
      <c r="C27" s="1" t="s">
        <v>8</v>
      </c>
      <c r="D27" s="3">
        <v>0</v>
      </c>
      <c r="F27" s="1" t="s">
        <v>15</v>
      </c>
      <c r="G27" s="1" t="str">
        <f>TEXT(RideData[[#This Row],[timestamp]],"hh:mm")</f>
        <v>11:25</v>
      </c>
    </row>
    <row r="28" spans="1:7">
      <c r="A28" s="1" t="s">
        <v>41</v>
      </c>
      <c r="B28" s="2">
        <v>46169.47569444445</v>
      </c>
      <c r="C28" s="1" t="s">
        <v>19</v>
      </c>
      <c r="D28" s="3">
        <v>0</v>
      </c>
      <c r="E28" s="3">
        <v>4.35</v>
      </c>
      <c r="F28" s="1" t="s">
        <v>15</v>
      </c>
      <c r="G28" s="1" t="str">
        <f>TEXT(RideData[[#This Row],[timestamp]],"hh:mm")</f>
        <v>11:25</v>
      </c>
    </row>
    <row r="29" spans="1:7">
      <c r="A29" s="1" t="s">
        <v>42</v>
      </c>
      <c r="B29" s="2">
        <v>46169.47569444445</v>
      </c>
      <c r="C29" s="1" t="s">
        <v>12</v>
      </c>
      <c r="D29" s="3">
        <v>1140.09</v>
      </c>
      <c r="E29" s="3">
        <v>4.68</v>
      </c>
      <c r="F29" s="1" t="s">
        <v>9</v>
      </c>
      <c r="G29" s="1" t="str">
        <f>TEXT(RideData[[#This Row],[timestamp]],"hh:mm")</f>
        <v>11:25</v>
      </c>
    </row>
    <row r="30" spans="1:7">
      <c r="A30" s="1" t="s">
        <v>43</v>
      </c>
      <c r="B30" s="2">
        <v>46169.47569444445</v>
      </c>
      <c r="C30" s="1" t="s">
        <v>21</v>
      </c>
      <c r="D30" s="3">
        <v>0</v>
      </c>
      <c r="E30" s="3">
        <v>4.22</v>
      </c>
      <c r="F30" s="1" t="s">
        <v>17</v>
      </c>
      <c r="G30" s="1" t="str">
        <f>TEXT(RideData[[#This Row],[timestamp]],"hh:mm")</f>
        <v>11:25</v>
      </c>
    </row>
    <row r="31" spans="1:7">
      <c r="A31" s="1" t="s">
        <v>44</v>
      </c>
      <c r="B31" s="2">
        <v>46169.47569444445</v>
      </c>
      <c r="C31" s="1" t="s">
        <v>12</v>
      </c>
      <c r="D31" s="3">
        <v>3343.97</v>
      </c>
      <c r="F31" s="1" t="s">
        <v>9</v>
      </c>
      <c r="G31" s="1" t="str">
        <f>TEXT(RideData[[#This Row],[timestamp]],"hh:mm")</f>
        <v>11:25</v>
      </c>
    </row>
    <row r="32" spans="1:7">
      <c r="A32" s="1" t="s">
        <v>45</v>
      </c>
      <c r="B32" s="2">
        <v>46169.47569444445</v>
      </c>
      <c r="C32" s="1" t="s">
        <v>19</v>
      </c>
      <c r="D32" s="3">
        <v>1109.11</v>
      </c>
      <c r="E32" s="3">
        <v>4.93</v>
      </c>
      <c r="F32" s="1" t="s">
        <v>9</v>
      </c>
      <c r="G32" s="1" t="str">
        <f>TEXT(RideData[[#This Row],[timestamp]],"hh:mm")</f>
        <v>11:25</v>
      </c>
    </row>
    <row r="33" spans="1:7">
      <c r="A33" s="1" t="s">
        <v>46</v>
      </c>
      <c r="B33" s="2">
        <v>46169.47569444445</v>
      </c>
      <c r="C33" s="1" t="s">
        <v>8</v>
      </c>
      <c r="D33" s="3">
        <v>2854.51</v>
      </c>
      <c r="E33" s="3">
        <v>3.75</v>
      </c>
      <c r="F33" s="1" t="s">
        <v>9</v>
      </c>
      <c r="G33" s="1" t="str">
        <f>TEXT(RideData[[#This Row],[timestamp]],"hh:mm")</f>
        <v>11:25</v>
      </c>
    </row>
    <row r="34" spans="1:7">
      <c r="A34" s="1" t="s">
        <v>47</v>
      </c>
      <c r="B34" s="2">
        <v>46169.47569444445</v>
      </c>
      <c r="C34" s="1" t="s">
        <v>8</v>
      </c>
      <c r="D34" s="3">
        <v>913.14</v>
      </c>
      <c r="E34" s="3">
        <v>3.4</v>
      </c>
      <c r="F34" s="1" t="s">
        <v>9</v>
      </c>
      <c r="G34" s="1" t="str">
        <f>TEXT(RideData[[#This Row],[timestamp]],"hh:mm")</f>
        <v>11:25</v>
      </c>
    </row>
    <row r="35" spans="1:7">
      <c r="A35" s="1" t="s">
        <v>48</v>
      </c>
      <c r="B35" s="2">
        <v>46169.47569444445</v>
      </c>
      <c r="C35" s="1" t="s">
        <v>8</v>
      </c>
      <c r="D35" s="3">
        <v>1601.65</v>
      </c>
      <c r="E35" s="3">
        <v>3.26</v>
      </c>
      <c r="F35" s="1" t="s">
        <v>9</v>
      </c>
      <c r="G35" s="1" t="str">
        <f>TEXT(RideData[[#This Row],[timestamp]],"hh:mm")</f>
        <v>11:25</v>
      </c>
    </row>
    <row r="36" spans="1:7">
      <c r="A36" s="1" t="s">
        <v>49</v>
      </c>
      <c r="B36" s="2">
        <v>46169.47569444445</v>
      </c>
      <c r="C36" s="1" t="s">
        <v>8</v>
      </c>
      <c r="D36" s="3">
        <v>2698.64</v>
      </c>
      <c r="E36" s="3">
        <v>4.22</v>
      </c>
      <c r="F36" s="1" t="s">
        <v>9</v>
      </c>
      <c r="G36" s="1" t="str">
        <f>TEXT(RideData[[#This Row],[timestamp]],"hh:mm")</f>
        <v>11:25</v>
      </c>
    </row>
    <row r="37" spans="1:7">
      <c r="A37" s="1" t="s">
        <v>50</v>
      </c>
      <c r="B37" s="2">
        <v>46169.47569444445</v>
      </c>
      <c r="C37" s="1" t="s">
        <v>8</v>
      </c>
      <c r="D37" s="3">
        <v>1865.49</v>
      </c>
      <c r="E37" s="3">
        <v>4.1</v>
      </c>
      <c r="F37" s="1" t="s">
        <v>9</v>
      </c>
      <c r="G37" s="1" t="str">
        <f>TEXT(RideData[[#This Row],[timestamp]],"hh:mm")</f>
        <v>11:25</v>
      </c>
    </row>
    <row r="38" spans="1:7">
      <c r="A38" s="1" t="s">
        <v>51</v>
      </c>
      <c r="B38" s="2">
        <v>46169.47569444445</v>
      </c>
      <c r="C38" s="1" t="s">
        <v>19</v>
      </c>
      <c r="D38" s="3">
        <v>2628.19</v>
      </c>
      <c r="E38" s="3">
        <v>4.31</v>
      </c>
      <c r="F38" s="1" t="s">
        <v>9</v>
      </c>
      <c r="G38" s="1" t="str">
        <f>TEXT(RideData[[#This Row],[timestamp]],"hh:mm")</f>
        <v>11:25</v>
      </c>
    </row>
    <row r="39" spans="1:7">
      <c r="A39" s="1" t="s">
        <v>52</v>
      </c>
      <c r="B39" s="2">
        <v>46169.47569444445</v>
      </c>
      <c r="C39" s="1" t="s">
        <v>8</v>
      </c>
      <c r="D39" s="3">
        <v>0</v>
      </c>
      <c r="E39" s="3">
        <v>4.41</v>
      </c>
      <c r="F39" s="1" t="s">
        <v>15</v>
      </c>
      <c r="G39" s="1" t="str">
        <f>TEXT(RideData[[#This Row],[timestamp]],"hh:mm")</f>
        <v>11:25</v>
      </c>
    </row>
    <row r="40" spans="1:7">
      <c r="A40" s="1" t="s">
        <v>53</v>
      </c>
      <c r="B40" s="2">
        <v>46169.47569444445</v>
      </c>
      <c r="C40" s="1" t="s">
        <v>19</v>
      </c>
      <c r="D40" s="3">
        <v>2043.94</v>
      </c>
      <c r="F40" s="1" t="s">
        <v>9</v>
      </c>
      <c r="G40" s="1" t="str">
        <f>TEXT(RideData[[#This Row],[timestamp]],"hh:mm")</f>
        <v>11:25</v>
      </c>
    </row>
    <row r="41" spans="1:7">
      <c r="A41" s="1" t="s">
        <v>54</v>
      </c>
      <c r="B41" s="2">
        <v>46169.47569444445</v>
      </c>
      <c r="C41" s="1" t="s">
        <v>19</v>
      </c>
      <c r="D41" s="3">
        <v>1414.98</v>
      </c>
      <c r="E41" s="3">
        <v>4.05</v>
      </c>
      <c r="F41" s="1" t="s">
        <v>9</v>
      </c>
      <c r="G41" s="1" t="str">
        <f>TEXT(RideData[[#This Row],[timestamp]],"hh:mm")</f>
        <v>11:25</v>
      </c>
    </row>
    <row r="42" spans="1:7">
      <c r="A42" s="1" t="s">
        <v>55</v>
      </c>
      <c r="B42" s="2">
        <v>46169.47569444445</v>
      </c>
      <c r="C42" s="1" t="s">
        <v>8</v>
      </c>
      <c r="D42" s="3">
        <v>1332.34</v>
      </c>
      <c r="E42" s="3">
        <v>4.54</v>
      </c>
      <c r="F42" s="1" t="s">
        <v>9</v>
      </c>
      <c r="G42" s="1" t="str">
        <f>TEXT(RideData[[#This Row],[timestamp]],"hh:mm")</f>
        <v>11:25</v>
      </c>
    </row>
    <row r="43" spans="1:7">
      <c r="A43" s="1" t="s">
        <v>56</v>
      </c>
      <c r="B43" s="2">
        <v>46169.47569444445</v>
      </c>
      <c r="C43" s="1" t="s">
        <v>21</v>
      </c>
      <c r="D43" s="3">
        <v>0</v>
      </c>
      <c r="E43" s="3">
        <v>5</v>
      </c>
      <c r="F43" s="1" t="s">
        <v>17</v>
      </c>
      <c r="G43" s="1" t="str">
        <f>TEXT(RideData[[#This Row],[timestamp]],"hh:mm")</f>
        <v>11:25</v>
      </c>
    </row>
    <row r="44" spans="1:7">
      <c r="A44" s="1" t="s">
        <v>57</v>
      </c>
      <c r="B44" s="2">
        <v>46169.47569444445</v>
      </c>
      <c r="C44" s="1" t="s">
        <v>12</v>
      </c>
      <c r="D44" s="3">
        <v>1117.38</v>
      </c>
      <c r="E44" s="3">
        <v>4.7</v>
      </c>
      <c r="F44" s="1" t="s">
        <v>9</v>
      </c>
      <c r="G44" s="1" t="str">
        <f>TEXT(RideData[[#This Row],[timestamp]],"hh:mm")</f>
        <v>11:25</v>
      </c>
    </row>
    <row r="45" spans="1:7">
      <c r="A45" s="1" t="s">
        <v>58</v>
      </c>
      <c r="B45" s="2">
        <v>46169.47569444445</v>
      </c>
      <c r="C45" s="1" t="s">
        <v>21</v>
      </c>
      <c r="D45" s="3">
        <v>671.83</v>
      </c>
      <c r="E45" s="3">
        <v>4.66</v>
      </c>
      <c r="F45" s="1" t="s">
        <v>9</v>
      </c>
      <c r="G45" s="1" t="str">
        <f>TEXT(RideData[[#This Row],[timestamp]],"hh:mm")</f>
        <v>11:25</v>
      </c>
    </row>
    <row r="46" spans="1:7">
      <c r="A46" s="1" t="s">
        <v>59</v>
      </c>
      <c r="B46" s="2">
        <v>46169.47569444445</v>
      </c>
      <c r="C46" s="1" t="s">
        <v>21</v>
      </c>
      <c r="D46" s="3">
        <v>0</v>
      </c>
      <c r="E46" s="3">
        <v>4.13</v>
      </c>
      <c r="F46" s="1" t="s">
        <v>15</v>
      </c>
      <c r="G46" s="1" t="str">
        <f>TEXT(RideData[[#This Row],[timestamp]],"hh:mm")</f>
        <v>11:25</v>
      </c>
    </row>
    <row r="47" spans="1:7">
      <c r="A47" s="1" t="s">
        <v>60</v>
      </c>
      <c r="B47" s="2">
        <v>46169.47569444445</v>
      </c>
      <c r="C47" s="1" t="s">
        <v>21</v>
      </c>
      <c r="D47" s="3">
        <v>2062.39</v>
      </c>
      <c r="E47" s="3">
        <v>4.29</v>
      </c>
      <c r="F47" s="1" t="s">
        <v>9</v>
      </c>
      <c r="G47" s="1" t="str">
        <f>TEXT(RideData[[#This Row],[timestamp]],"hh:mm")</f>
        <v>11:25</v>
      </c>
    </row>
    <row r="48" spans="1:7">
      <c r="A48" s="1" t="s">
        <v>61</v>
      </c>
      <c r="B48" s="2">
        <v>46169.47569444445</v>
      </c>
      <c r="C48" s="1" t="s">
        <v>21</v>
      </c>
      <c r="D48" s="3">
        <v>1827.31</v>
      </c>
      <c r="E48" s="3">
        <v>4.84</v>
      </c>
      <c r="F48" s="1" t="s">
        <v>9</v>
      </c>
      <c r="G48" s="1" t="str">
        <f>TEXT(RideData[[#This Row],[timestamp]],"hh:mm")</f>
        <v>11:25</v>
      </c>
    </row>
    <row r="49" spans="1:7">
      <c r="A49" s="1" t="s">
        <v>62</v>
      </c>
      <c r="B49" s="2">
        <v>46169.47569444445</v>
      </c>
      <c r="C49" s="1" t="s">
        <v>21</v>
      </c>
      <c r="D49" s="3">
        <v>380.1</v>
      </c>
      <c r="E49" s="3">
        <v>4.14</v>
      </c>
      <c r="F49" s="1" t="s">
        <v>9</v>
      </c>
      <c r="G49" s="1" t="str">
        <f>TEXT(RideData[[#This Row],[timestamp]],"hh:mm")</f>
        <v>11:25</v>
      </c>
    </row>
    <row r="50" spans="1:7">
      <c r="A50" s="1" t="s">
        <v>63</v>
      </c>
      <c r="B50" s="2">
        <v>46169.47569444445</v>
      </c>
      <c r="C50" s="1" t="s">
        <v>8</v>
      </c>
      <c r="D50" s="3">
        <v>706.2</v>
      </c>
      <c r="E50" s="3">
        <v>4.48</v>
      </c>
      <c r="F50" s="1" t="s">
        <v>9</v>
      </c>
      <c r="G50" s="1" t="str">
        <f>TEXT(RideData[[#This Row],[timestamp]],"hh:mm")</f>
        <v>11:25</v>
      </c>
    </row>
    <row r="51" spans="1:7">
      <c r="A51" s="1" t="s">
        <v>64</v>
      </c>
      <c r="B51" s="2">
        <v>46169.47569444445</v>
      </c>
      <c r="C51" s="1" t="s">
        <v>19</v>
      </c>
      <c r="D51" s="3">
        <v>0</v>
      </c>
      <c r="F51" s="1" t="s">
        <v>15</v>
      </c>
      <c r="G51" s="1" t="str">
        <f>TEXT(RideData[[#This Row],[timestamp]],"hh:mm")</f>
        <v>11:25</v>
      </c>
    </row>
    <row r="52" spans="1:7">
      <c r="A52" s="1" t="s">
        <v>65</v>
      </c>
      <c r="B52" s="2">
        <v>46169.47569444445</v>
      </c>
      <c r="C52" s="1" t="s">
        <v>21</v>
      </c>
      <c r="D52" s="3">
        <v>1591.85</v>
      </c>
      <c r="F52" s="1" t="s">
        <v>9</v>
      </c>
      <c r="G52" s="1" t="str">
        <f>TEXT(RideData[[#This Row],[timestamp]],"hh:mm")</f>
        <v>11:25</v>
      </c>
    </row>
    <row r="53" spans="1:7">
      <c r="A53" s="1" t="s">
        <v>66</v>
      </c>
      <c r="B53" s="2">
        <v>46169.47569444445</v>
      </c>
      <c r="C53" s="1" t="s">
        <v>19</v>
      </c>
      <c r="D53" s="3">
        <v>1592.65</v>
      </c>
      <c r="E53" s="3">
        <v>3.88</v>
      </c>
      <c r="F53" s="1" t="s">
        <v>9</v>
      </c>
      <c r="G53" s="1" t="str">
        <f>TEXT(RideData[[#This Row],[timestamp]],"hh:mm")</f>
        <v>11:25</v>
      </c>
    </row>
    <row r="54" spans="1:7">
      <c r="A54" s="1" t="s">
        <v>67</v>
      </c>
      <c r="B54" s="2">
        <v>46169.47569444445</v>
      </c>
      <c r="C54" s="1" t="s">
        <v>12</v>
      </c>
      <c r="D54" s="3">
        <v>1991.74</v>
      </c>
      <c r="E54" s="3">
        <v>3.43</v>
      </c>
      <c r="F54" s="1" t="s">
        <v>9</v>
      </c>
      <c r="G54" s="1" t="str">
        <f>TEXT(RideData[[#This Row],[timestamp]],"hh:mm")</f>
        <v>11:25</v>
      </c>
    </row>
    <row r="55" spans="1:7">
      <c r="A55" s="1" t="s">
        <v>68</v>
      </c>
      <c r="B55" s="2">
        <v>46169.47569444445</v>
      </c>
      <c r="C55" s="1" t="s">
        <v>19</v>
      </c>
      <c r="D55" s="3">
        <v>2052.2</v>
      </c>
      <c r="E55" s="3">
        <v>4.24</v>
      </c>
      <c r="F55" s="1" t="s">
        <v>9</v>
      </c>
      <c r="G55" s="1" t="str">
        <f>TEXT(RideData[[#This Row],[timestamp]],"hh:mm")</f>
        <v>11:25</v>
      </c>
    </row>
    <row r="56" spans="1:7">
      <c r="A56" s="1" t="s">
        <v>69</v>
      </c>
      <c r="B56" s="2">
        <v>46169.47569444445</v>
      </c>
      <c r="C56" s="1" t="s">
        <v>8</v>
      </c>
      <c r="D56" s="3">
        <v>745.27</v>
      </c>
      <c r="F56" s="1" t="s">
        <v>9</v>
      </c>
      <c r="G56" s="1" t="str">
        <f>TEXT(RideData[[#This Row],[timestamp]],"hh:mm")</f>
        <v>11:25</v>
      </c>
    </row>
    <row r="57" spans="1:7">
      <c r="A57" s="1" t="s">
        <v>70</v>
      </c>
      <c r="B57" s="2">
        <v>46169.47569444445</v>
      </c>
      <c r="C57" s="1" t="s">
        <v>21</v>
      </c>
      <c r="D57" s="3">
        <v>1705.64</v>
      </c>
      <c r="E57" s="3">
        <v>3.2</v>
      </c>
      <c r="F57" s="1" t="s">
        <v>9</v>
      </c>
      <c r="G57" s="1" t="str">
        <f>TEXT(RideData[[#This Row],[timestamp]],"hh:mm")</f>
        <v>11:25</v>
      </c>
    </row>
    <row r="58" spans="1:7">
      <c r="A58" s="1" t="s">
        <v>71</v>
      </c>
      <c r="B58" s="2">
        <v>46169.47569444445</v>
      </c>
      <c r="C58" s="1" t="s">
        <v>8</v>
      </c>
      <c r="D58" s="3">
        <v>637.26</v>
      </c>
      <c r="F58" s="1" t="s">
        <v>9</v>
      </c>
      <c r="G58" s="1" t="str">
        <f>TEXT(RideData[[#This Row],[timestamp]],"hh:mm")</f>
        <v>11:25</v>
      </c>
    </row>
    <row r="59" spans="1:7">
      <c r="A59" s="1" t="s">
        <v>72</v>
      </c>
      <c r="B59" s="2">
        <v>46169.47569444445</v>
      </c>
      <c r="C59" s="1" t="s">
        <v>12</v>
      </c>
      <c r="D59" s="3">
        <v>2047.33</v>
      </c>
      <c r="E59" s="3">
        <v>3.42</v>
      </c>
      <c r="F59" s="1" t="s">
        <v>9</v>
      </c>
      <c r="G59" s="1" t="str">
        <f>TEXT(RideData[[#This Row],[timestamp]],"hh:mm")</f>
        <v>11:25</v>
      </c>
    </row>
    <row r="60" spans="1:7">
      <c r="A60" s="1" t="s">
        <v>73</v>
      </c>
      <c r="B60" s="2">
        <v>46169.47569444445</v>
      </c>
      <c r="C60" s="1" t="s">
        <v>8</v>
      </c>
      <c r="D60" s="3">
        <v>2680.89</v>
      </c>
      <c r="F60" s="1" t="s">
        <v>9</v>
      </c>
      <c r="G60" s="1" t="str">
        <f>TEXT(RideData[[#This Row],[timestamp]],"hh:mm")</f>
        <v>11:25</v>
      </c>
    </row>
    <row r="61" spans="1:7">
      <c r="A61" s="1" t="s">
        <v>74</v>
      </c>
      <c r="B61" s="2">
        <v>46169.47569444445</v>
      </c>
      <c r="C61" s="1" t="s">
        <v>8</v>
      </c>
      <c r="D61" s="3">
        <v>902.91</v>
      </c>
      <c r="E61" s="3">
        <v>4</v>
      </c>
      <c r="F61" s="1" t="s">
        <v>9</v>
      </c>
      <c r="G61" s="1" t="str">
        <f>TEXT(RideData[[#This Row],[timestamp]],"hh:mm")</f>
        <v>11:25</v>
      </c>
    </row>
    <row r="62" spans="1:7">
      <c r="A62" s="1" t="s">
        <v>75</v>
      </c>
      <c r="B62" s="2">
        <v>46169.47569444445</v>
      </c>
      <c r="C62" s="1" t="s">
        <v>12</v>
      </c>
      <c r="D62" s="3">
        <v>1399.51</v>
      </c>
      <c r="E62" s="3">
        <v>2.56</v>
      </c>
      <c r="F62" s="1" t="s">
        <v>9</v>
      </c>
      <c r="G62" s="1" t="str">
        <f>TEXT(RideData[[#This Row],[timestamp]],"hh:mm")</f>
        <v>11:25</v>
      </c>
    </row>
    <row r="63" spans="1:7">
      <c r="A63" s="1" t="s">
        <v>76</v>
      </c>
      <c r="B63" s="2">
        <v>46169.47569444445</v>
      </c>
      <c r="C63" s="1" t="s">
        <v>12</v>
      </c>
      <c r="D63" s="3">
        <v>1603.44</v>
      </c>
      <c r="E63" s="3">
        <v>4.46</v>
      </c>
      <c r="F63" s="1" t="s">
        <v>9</v>
      </c>
      <c r="G63" s="1" t="str">
        <f>TEXT(RideData[[#This Row],[timestamp]],"hh:mm")</f>
        <v>11:25</v>
      </c>
    </row>
    <row r="64" spans="1:7">
      <c r="A64" s="1" t="s">
        <v>77</v>
      </c>
      <c r="B64" s="2">
        <v>46169.47569444445</v>
      </c>
      <c r="C64" s="1" t="s">
        <v>21</v>
      </c>
      <c r="D64" s="3">
        <v>1540.3</v>
      </c>
      <c r="E64" s="3">
        <v>4.77</v>
      </c>
      <c r="F64" s="1" t="s">
        <v>9</v>
      </c>
      <c r="G64" s="1" t="str">
        <f>TEXT(RideData[[#This Row],[timestamp]],"hh:mm")</f>
        <v>11:25</v>
      </c>
    </row>
    <row r="65" spans="1:7">
      <c r="A65" s="1" t="s">
        <v>78</v>
      </c>
      <c r="B65" s="2">
        <v>46169.47569444445</v>
      </c>
      <c r="C65" s="1" t="s">
        <v>12</v>
      </c>
      <c r="D65" s="3">
        <v>778.6900000000001</v>
      </c>
      <c r="E65" s="3">
        <v>4.44</v>
      </c>
      <c r="F65" s="1" t="s">
        <v>9</v>
      </c>
      <c r="G65" s="1" t="str">
        <f>TEXT(RideData[[#This Row],[timestamp]],"hh:mm")</f>
        <v>11:25</v>
      </c>
    </row>
    <row r="66" spans="1:7">
      <c r="A66" s="1" t="s">
        <v>79</v>
      </c>
      <c r="B66" s="2">
        <v>46169.47569444445</v>
      </c>
      <c r="C66" s="1" t="s">
        <v>12</v>
      </c>
      <c r="D66" s="3">
        <v>0</v>
      </c>
      <c r="E66" s="3">
        <v>3.82</v>
      </c>
      <c r="F66" s="1" t="s">
        <v>15</v>
      </c>
      <c r="G66" s="1" t="str">
        <f>TEXT(RideData[[#This Row],[timestamp]],"hh:mm")</f>
        <v>11:25</v>
      </c>
    </row>
    <row r="67" spans="1:7">
      <c r="A67" s="1" t="s">
        <v>80</v>
      </c>
      <c r="B67" s="2">
        <v>46169.47569444445</v>
      </c>
      <c r="C67" s="1" t="s">
        <v>19</v>
      </c>
      <c r="D67" s="3">
        <v>1055.45</v>
      </c>
      <c r="E67" s="3">
        <v>3.93</v>
      </c>
      <c r="F67" s="1" t="s">
        <v>9</v>
      </c>
      <c r="G67" s="1" t="str">
        <f>TEXT(RideData[[#This Row],[timestamp]],"hh:mm")</f>
        <v>11:25</v>
      </c>
    </row>
    <row r="68" spans="1:7">
      <c r="A68" s="1" t="s">
        <v>81</v>
      </c>
      <c r="B68" s="2">
        <v>46169.47569444445</v>
      </c>
      <c r="C68" s="1" t="s">
        <v>21</v>
      </c>
      <c r="D68" s="3">
        <v>0</v>
      </c>
      <c r="E68" s="3">
        <v>4.15</v>
      </c>
      <c r="F68" s="1" t="s">
        <v>17</v>
      </c>
      <c r="G68" s="1" t="str">
        <f>TEXT(RideData[[#This Row],[timestamp]],"hh:mm")</f>
        <v>11:25</v>
      </c>
    </row>
    <row r="69" spans="1:7">
      <c r="A69" s="1" t="s">
        <v>82</v>
      </c>
      <c r="B69" s="2">
        <v>46169.47569444445</v>
      </c>
      <c r="C69" s="1" t="s">
        <v>21</v>
      </c>
      <c r="D69" s="3">
        <v>0</v>
      </c>
      <c r="E69" s="3">
        <v>4.17</v>
      </c>
      <c r="F69" s="1" t="s">
        <v>15</v>
      </c>
      <c r="G69" s="1" t="str">
        <f>TEXT(RideData[[#This Row],[timestamp]],"hh:mm")</f>
        <v>11:25</v>
      </c>
    </row>
    <row r="70" spans="1:7">
      <c r="A70" s="1" t="s">
        <v>83</v>
      </c>
      <c r="B70" s="2">
        <v>46169.47569444445</v>
      </c>
      <c r="C70" s="1" t="s">
        <v>12</v>
      </c>
      <c r="D70" s="3">
        <v>1223.06</v>
      </c>
      <c r="E70" s="3">
        <v>4.38</v>
      </c>
      <c r="F70" s="1" t="s">
        <v>9</v>
      </c>
      <c r="G70" s="1" t="str">
        <f>TEXT(RideData[[#This Row],[timestamp]],"hh:mm")</f>
        <v>11:25</v>
      </c>
    </row>
    <row r="71" spans="1:7">
      <c r="A71" s="1" t="s">
        <v>84</v>
      </c>
      <c r="B71" s="2">
        <v>46169.47569444445</v>
      </c>
      <c r="C71" s="1" t="s">
        <v>12</v>
      </c>
      <c r="D71" s="3">
        <v>0</v>
      </c>
      <c r="E71" s="3">
        <v>3.58</v>
      </c>
      <c r="F71" s="1" t="s">
        <v>15</v>
      </c>
      <c r="G71" s="1" t="str">
        <f>TEXT(RideData[[#This Row],[timestamp]],"hh:mm")</f>
        <v>11:25</v>
      </c>
    </row>
    <row r="72" spans="1:7">
      <c r="A72" s="1" t="s">
        <v>85</v>
      </c>
      <c r="B72" s="2">
        <v>46169.47569444445</v>
      </c>
      <c r="C72" s="1" t="s">
        <v>8</v>
      </c>
      <c r="D72" s="3">
        <v>2936.39</v>
      </c>
      <c r="E72" s="3">
        <v>4.07</v>
      </c>
      <c r="F72" s="1" t="s">
        <v>9</v>
      </c>
      <c r="G72" s="1" t="str">
        <f>TEXT(RideData[[#This Row],[timestamp]],"hh:mm")</f>
        <v>11:25</v>
      </c>
    </row>
    <row r="73" spans="1:7">
      <c r="A73" s="1" t="s">
        <v>86</v>
      </c>
      <c r="B73" s="2">
        <v>46169.47569444445</v>
      </c>
      <c r="C73" s="1" t="s">
        <v>19</v>
      </c>
      <c r="D73" s="3">
        <v>2547.4</v>
      </c>
      <c r="E73" s="3">
        <v>3.53</v>
      </c>
      <c r="F73" s="1" t="s">
        <v>9</v>
      </c>
      <c r="G73" s="1" t="str">
        <f>TEXT(RideData[[#This Row],[timestamp]],"hh:mm")</f>
        <v>11:25</v>
      </c>
    </row>
    <row r="74" spans="1:7">
      <c r="A74" s="1" t="s">
        <v>87</v>
      </c>
      <c r="B74" s="2">
        <v>46169.47569444445</v>
      </c>
      <c r="C74" s="1" t="s">
        <v>21</v>
      </c>
      <c r="D74" s="3">
        <v>1425.63</v>
      </c>
      <c r="E74" s="3">
        <v>4.38</v>
      </c>
      <c r="F74" s="1" t="s">
        <v>9</v>
      </c>
      <c r="G74" s="1" t="str">
        <f>TEXT(RideData[[#This Row],[timestamp]],"hh:mm")</f>
        <v>11:25</v>
      </c>
    </row>
    <row r="75" spans="1:7">
      <c r="A75" s="1" t="s">
        <v>88</v>
      </c>
      <c r="B75" s="2">
        <v>46169.47569444445</v>
      </c>
      <c r="C75" s="1" t="s">
        <v>19</v>
      </c>
      <c r="D75" s="3">
        <v>1314.88</v>
      </c>
      <c r="E75" s="3">
        <v>3.89</v>
      </c>
      <c r="F75" s="1" t="s">
        <v>9</v>
      </c>
      <c r="G75" s="1" t="str">
        <f>TEXT(RideData[[#This Row],[timestamp]],"hh:mm")</f>
        <v>11:25</v>
      </c>
    </row>
    <row r="76" spans="1:7">
      <c r="A76" s="1" t="s">
        <v>89</v>
      </c>
      <c r="B76" s="2">
        <v>46169.47569444445</v>
      </c>
      <c r="C76" s="1" t="s">
        <v>12</v>
      </c>
      <c r="D76" s="3">
        <v>0</v>
      </c>
      <c r="E76" s="3">
        <v>4.68</v>
      </c>
      <c r="F76" s="1" t="s">
        <v>15</v>
      </c>
      <c r="G76" s="1" t="str">
        <f>TEXT(RideData[[#This Row],[timestamp]],"hh:mm")</f>
        <v>11:25</v>
      </c>
    </row>
    <row r="77" spans="1:7">
      <c r="A77" s="1" t="s">
        <v>90</v>
      </c>
      <c r="B77" s="2">
        <v>46169.47569444445</v>
      </c>
      <c r="C77" s="1" t="s">
        <v>8</v>
      </c>
      <c r="D77" s="3">
        <v>0</v>
      </c>
      <c r="E77" s="3">
        <v>4.06</v>
      </c>
      <c r="F77" s="1" t="s">
        <v>15</v>
      </c>
      <c r="G77" s="1" t="str">
        <f>TEXT(RideData[[#This Row],[timestamp]],"hh:mm")</f>
        <v>11:25</v>
      </c>
    </row>
    <row r="78" spans="1:7">
      <c r="A78" s="1" t="s">
        <v>91</v>
      </c>
      <c r="B78" s="2">
        <v>46169.47569444445</v>
      </c>
      <c r="C78" s="1" t="s">
        <v>8</v>
      </c>
      <c r="D78" s="3">
        <v>0</v>
      </c>
      <c r="E78" s="3">
        <v>3.93</v>
      </c>
      <c r="F78" s="1" t="s">
        <v>15</v>
      </c>
      <c r="G78" s="1" t="str">
        <f>TEXT(RideData[[#This Row],[timestamp]],"hh:mm")</f>
        <v>11:25</v>
      </c>
    </row>
    <row r="79" spans="1:7">
      <c r="A79" s="1" t="s">
        <v>92</v>
      </c>
      <c r="B79" s="2">
        <v>46169.47569444445</v>
      </c>
      <c r="C79" s="1" t="s">
        <v>12</v>
      </c>
      <c r="D79" s="3">
        <v>0</v>
      </c>
      <c r="E79" s="3">
        <v>4.97</v>
      </c>
      <c r="F79" s="1" t="s">
        <v>15</v>
      </c>
      <c r="G79" s="1" t="str">
        <f>TEXT(RideData[[#This Row],[timestamp]],"hh:mm")</f>
        <v>11:25</v>
      </c>
    </row>
    <row r="80" spans="1:7">
      <c r="A80" s="1" t="s">
        <v>93</v>
      </c>
      <c r="B80" s="2">
        <v>46169.47569444445</v>
      </c>
      <c r="C80" s="1" t="s">
        <v>21</v>
      </c>
      <c r="D80" s="3">
        <v>0</v>
      </c>
      <c r="E80" s="3">
        <v>3.85</v>
      </c>
      <c r="F80" s="1" t="s">
        <v>15</v>
      </c>
      <c r="G80" s="1" t="str">
        <f>TEXT(RideData[[#This Row],[timestamp]],"hh:mm")</f>
        <v>11:25</v>
      </c>
    </row>
    <row r="81" spans="1:7">
      <c r="A81" s="1" t="s">
        <v>94</v>
      </c>
      <c r="B81" s="2">
        <v>46169.47569444445</v>
      </c>
      <c r="C81" s="1" t="s">
        <v>12</v>
      </c>
      <c r="D81" s="3">
        <v>1135</v>
      </c>
      <c r="E81" s="3">
        <v>3.75</v>
      </c>
      <c r="F81" s="1" t="s">
        <v>9</v>
      </c>
      <c r="G81" s="1" t="str">
        <f>TEXT(RideData[[#This Row],[timestamp]],"hh:mm")</f>
        <v>11:25</v>
      </c>
    </row>
    <row r="82" spans="1:7">
      <c r="A82" s="1" t="s">
        <v>95</v>
      </c>
      <c r="B82" s="2">
        <v>46169.47569444445</v>
      </c>
      <c r="C82" s="1" t="s">
        <v>12</v>
      </c>
      <c r="D82" s="3">
        <v>1999.87</v>
      </c>
      <c r="E82" s="3">
        <v>3.83</v>
      </c>
      <c r="F82" s="1" t="s">
        <v>9</v>
      </c>
      <c r="G82" s="1" t="str">
        <f>TEXT(RideData[[#This Row],[timestamp]],"hh:mm")</f>
        <v>11:25</v>
      </c>
    </row>
    <row r="83" spans="1:7">
      <c r="A83" s="1" t="s">
        <v>96</v>
      </c>
      <c r="B83" s="2">
        <v>46169.47569444445</v>
      </c>
      <c r="C83" s="1" t="s">
        <v>21</v>
      </c>
      <c r="D83" s="3">
        <v>965.8</v>
      </c>
      <c r="E83" s="3">
        <v>3.4</v>
      </c>
      <c r="F83" s="1" t="s">
        <v>9</v>
      </c>
      <c r="G83" s="1" t="str">
        <f>TEXT(RideData[[#This Row],[timestamp]],"hh:mm")</f>
        <v>11:25</v>
      </c>
    </row>
    <row r="84" spans="1:7">
      <c r="A84" s="1" t="s">
        <v>97</v>
      </c>
      <c r="B84" s="2">
        <v>46169.47569444445</v>
      </c>
      <c r="C84" s="1" t="s">
        <v>8</v>
      </c>
      <c r="D84" s="3">
        <v>0</v>
      </c>
      <c r="E84" s="3">
        <v>4.43</v>
      </c>
      <c r="F84" s="1" t="s">
        <v>15</v>
      </c>
      <c r="G84" s="1" t="str">
        <f>TEXT(RideData[[#This Row],[timestamp]],"hh:mm")</f>
        <v>11:25</v>
      </c>
    </row>
    <row r="85" spans="1:7">
      <c r="A85" s="1" t="s">
        <v>98</v>
      </c>
      <c r="B85" s="2">
        <v>46169.47569444445</v>
      </c>
      <c r="C85" s="1" t="s">
        <v>21</v>
      </c>
      <c r="D85" s="3">
        <v>2032.43</v>
      </c>
      <c r="E85" s="3">
        <v>4.52</v>
      </c>
      <c r="F85" s="1" t="s">
        <v>9</v>
      </c>
      <c r="G85" s="1" t="str">
        <f>TEXT(RideData[[#This Row],[timestamp]],"hh:mm")</f>
        <v>11:25</v>
      </c>
    </row>
    <row r="86" spans="1:7">
      <c r="A86" s="1" t="s">
        <v>99</v>
      </c>
      <c r="B86" s="2">
        <v>46169.47569444445</v>
      </c>
      <c r="C86" s="1" t="s">
        <v>19</v>
      </c>
      <c r="D86" s="3">
        <v>964.63</v>
      </c>
      <c r="E86" s="3">
        <v>4.04</v>
      </c>
      <c r="F86" s="1" t="s">
        <v>9</v>
      </c>
      <c r="G86" s="1" t="str">
        <f>TEXT(RideData[[#This Row],[timestamp]],"hh:mm")</f>
        <v>11:25</v>
      </c>
    </row>
    <row r="87" spans="1:7">
      <c r="A87" s="1" t="s">
        <v>100</v>
      </c>
      <c r="B87" s="2">
        <v>46169.47569444445</v>
      </c>
      <c r="C87" s="1" t="s">
        <v>21</v>
      </c>
      <c r="D87" s="3">
        <v>0</v>
      </c>
      <c r="E87" s="3">
        <v>4.77</v>
      </c>
      <c r="F87" s="1" t="s">
        <v>17</v>
      </c>
      <c r="G87" s="1" t="str">
        <f>TEXT(RideData[[#This Row],[timestamp]],"hh:mm")</f>
        <v>11:25</v>
      </c>
    </row>
    <row r="88" spans="1:7">
      <c r="A88" s="1" t="s">
        <v>101</v>
      </c>
      <c r="B88" s="2">
        <v>46169.47569444445</v>
      </c>
      <c r="C88" s="1" t="s">
        <v>12</v>
      </c>
      <c r="D88" s="3">
        <v>1428.83</v>
      </c>
      <c r="E88" s="3">
        <v>4.2</v>
      </c>
      <c r="F88" s="1" t="s">
        <v>9</v>
      </c>
      <c r="G88" s="1" t="str">
        <f>TEXT(RideData[[#This Row],[timestamp]],"hh:mm")</f>
        <v>11:25</v>
      </c>
    </row>
    <row r="89" spans="1:7">
      <c r="A89" s="1" t="s">
        <v>102</v>
      </c>
      <c r="B89" s="2">
        <v>46169.47569444445</v>
      </c>
      <c r="C89" s="1" t="s">
        <v>19</v>
      </c>
      <c r="D89" s="3">
        <v>1705.28</v>
      </c>
      <c r="F89" s="1" t="s">
        <v>9</v>
      </c>
      <c r="G89" s="1" t="str">
        <f>TEXT(RideData[[#This Row],[timestamp]],"hh:mm")</f>
        <v>11:25</v>
      </c>
    </row>
    <row r="90" spans="1:7">
      <c r="A90" s="1" t="s">
        <v>103</v>
      </c>
      <c r="B90" s="2">
        <v>46169.47569444445</v>
      </c>
      <c r="C90" s="1" t="s">
        <v>19</v>
      </c>
      <c r="D90" s="3">
        <v>3021.49</v>
      </c>
      <c r="E90" s="3">
        <v>2.96</v>
      </c>
      <c r="F90" s="1" t="s">
        <v>9</v>
      </c>
      <c r="G90" s="1" t="str">
        <f>TEXT(RideData[[#This Row],[timestamp]],"hh:mm")</f>
        <v>11:25</v>
      </c>
    </row>
    <row r="91" spans="1:7">
      <c r="A91" s="1" t="s">
        <v>104</v>
      </c>
      <c r="B91" s="2">
        <v>46169.47916666666</v>
      </c>
      <c r="C91" s="1" t="s">
        <v>21</v>
      </c>
      <c r="D91" s="3">
        <v>0</v>
      </c>
      <c r="F91" s="1" t="s">
        <v>15</v>
      </c>
      <c r="G91" s="1" t="str">
        <f>TEXT(RideData[[#This Row],[timestamp]],"hh:mm")</f>
        <v>11:30</v>
      </c>
    </row>
    <row r="92" spans="1:7">
      <c r="A92" s="1" t="s">
        <v>106</v>
      </c>
      <c r="B92" s="2">
        <v>46169.47916666666</v>
      </c>
      <c r="C92" s="1" t="s">
        <v>19</v>
      </c>
      <c r="D92" s="3">
        <v>0</v>
      </c>
      <c r="F92" s="1" t="s">
        <v>17</v>
      </c>
      <c r="G92" s="1" t="str">
        <f>TEXT(RideData[[#This Row],[timestamp]],"hh:mm")</f>
        <v>11:30</v>
      </c>
    </row>
    <row r="93" spans="1:7">
      <c r="A93" s="1" t="s">
        <v>107</v>
      </c>
      <c r="B93" s="2">
        <v>46169.47916666666</v>
      </c>
      <c r="C93" s="1" t="s">
        <v>8</v>
      </c>
      <c r="D93" s="3">
        <v>2614.81</v>
      </c>
      <c r="E93" s="3">
        <v>3.45</v>
      </c>
      <c r="F93" s="1" t="s">
        <v>9</v>
      </c>
      <c r="G93" s="1" t="str">
        <f>TEXT(RideData[[#This Row],[timestamp]],"hh:mm")</f>
        <v>11:30</v>
      </c>
    </row>
    <row r="94" spans="1:7">
      <c r="A94" s="1" t="s">
        <v>108</v>
      </c>
      <c r="B94" s="2">
        <v>46169.47916666666</v>
      </c>
      <c r="C94" s="1" t="s">
        <v>12</v>
      </c>
      <c r="D94" s="3">
        <v>1123.72</v>
      </c>
      <c r="E94" s="3">
        <v>3.46</v>
      </c>
      <c r="F94" s="1" t="s">
        <v>9</v>
      </c>
      <c r="G94" s="1" t="str">
        <f>TEXT(RideData[[#This Row],[timestamp]],"hh:mm")</f>
        <v>11:30</v>
      </c>
    </row>
    <row r="95" spans="1:7">
      <c r="A95" s="1" t="s">
        <v>109</v>
      </c>
      <c r="B95" s="2">
        <v>46169.47916666666</v>
      </c>
      <c r="C95" s="1" t="s">
        <v>21</v>
      </c>
      <c r="D95" s="3">
        <v>1239.5</v>
      </c>
      <c r="E95" s="3">
        <v>4.95</v>
      </c>
      <c r="F95" s="1" t="s">
        <v>9</v>
      </c>
      <c r="G95" s="1" t="str">
        <f>TEXT(RideData[[#This Row],[timestamp]],"hh:mm")</f>
        <v>11:30</v>
      </c>
    </row>
    <row r="96" spans="1:7">
      <c r="A96" s="1" t="s">
        <v>110</v>
      </c>
      <c r="B96" s="2">
        <v>46169.47916666666</v>
      </c>
      <c r="C96" s="1" t="s">
        <v>19</v>
      </c>
      <c r="D96" s="3">
        <v>1075.89</v>
      </c>
      <c r="F96" s="1" t="s">
        <v>9</v>
      </c>
      <c r="G96" s="1" t="str">
        <f>TEXT(RideData[[#This Row],[timestamp]],"hh:mm")</f>
        <v>11:30</v>
      </c>
    </row>
    <row r="97" spans="1:7">
      <c r="A97" s="1" t="s">
        <v>111</v>
      </c>
      <c r="B97" s="2">
        <v>46169.47916666666</v>
      </c>
      <c r="C97" s="1" t="s">
        <v>21</v>
      </c>
      <c r="D97" s="3">
        <v>1597.7</v>
      </c>
      <c r="E97" s="3">
        <v>3.96</v>
      </c>
      <c r="F97" s="1" t="s">
        <v>9</v>
      </c>
      <c r="G97" s="1" t="str">
        <f>TEXT(RideData[[#This Row],[timestamp]],"hh:mm")</f>
        <v>11:30</v>
      </c>
    </row>
    <row r="98" spans="1:7">
      <c r="A98" s="1" t="s">
        <v>112</v>
      </c>
      <c r="B98" s="2">
        <v>46169.47916666666</v>
      </c>
      <c r="C98" s="1" t="s">
        <v>12</v>
      </c>
      <c r="D98" s="3">
        <v>0</v>
      </c>
      <c r="E98" s="3">
        <v>3.61</v>
      </c>
      <c r="F98" s="1" t="s">
        <v>15</v>
      </c>
      <c r="G98" s="1" t="str">
        <f>TEXT(RideData[[#This Row],[timestamp]],"hh:mm")</f>
        <v>11:30</v>
      </c>
    </row>
    <row r="99" spans="1:7">
      <c r="A99" s="1" t="s">
        <v>113</v>
      </c>
      <c r="B99" s="2">
        <v>46169.47916666666</v>
      </c>
      <c r="C99" s="1" t="s">
        <v>12</v>
      </c>
      <c r="D99" s="3">
        <v>2398.52</v>
      </c>
      <c r="F99" s="1" t="s">
        <v>9</v>
      </c>
      <c r="G99" s="1" t="str">
        <f>TEXT(RideData[[#This Row],[timestamp]],"hh:mm")</f>
        <v>11:30</v>
      </c>
    </row>
    <row r="100" spans="1:7">
      <c r="A100" s="1" t="s">
        <v>114</v>
      </c>
      <c r="B100" s="2">
        <v>46169.47916666666</v>
      </c>
      <c r="C100" s="1" t="s">
        <v>19</v>
      </c>
      <c r="D100" s="3">
        <v>1713.39</v>
      </c>
      <c r="E100" s="3">
        <v>4.09</v>
      </c>
      <c r="F100" s="1" t="s">
        <v>9</v>
      </c>
      <c r="G100" s="1" t="str">
        <f>TEXT(RideData[[#This Row],[timestamp]],"hh:mm")</f>
        <v>11:30</v>
      </c>
    </row>
    <row r="101" spans="1:7">
      <c r="A101" s="1" t="s">
        <v>115</v>
      </c>
      <c r="B101" s="2">
        <v>46169.47916666666</v>
      </c>
      <c r="C101" s="1" t="s">
        <v>21</v>
      </c>
      <c r="D101" s="3">
        <v>760.35</v>
      </c>
      <c r="E101" s="3">
        <v>4.26</v>
      </c>
      <c r="F101" s="1" t="s">
        <v>9</v>
      </c>
      <c r="G101" s="1" t="str">
        <f>TEXT(RideData[[#This Row],[timestamp]],"hh:mm")</f>
        <v>11:30</v>
      </c>
    </row>
    <row r="102" spans="1:7">
      <c r="A102" s="1" t="s">
        <v>116</v>
      </c>
      <c r="B102" s="2">
        <v>46169.47916666666</v>
      </c>
      <c r="C102" s="1" t="s">
        <v>12</v>
      </c>
      <c r="D102" s="3">
        <v>0</v>
      </c>
      <c r="E102" s="3">
        <v>4.76</v>
      </c>
      <c r="F102" s="1" t="s">
        <v>15</v>
      </c>
      <c r="G102" s="1" t="str">
        <f>TEXT(RideData[[#This Row],[timestamp]],"hh:mm")</f>
        <v>11:30</v>
      </c>
    </row>
    <row r="103" spans="1:7">
      <c r="A103" s="1" t="s">
        <v>117</v>
      </c>
      <c r="B103" s="2">
        <v>46169.47916666666</v>
      </c>
      <c r="C103" s="1" t="s">
        <v>8</v>
      </c>
      <c r="D103" s="3">
        <v>778.49</v>
      </c>
      <c r="E103" s="3">
        <v>4.25</v>
      </c>
      <c r="F103" s="1" t="s">
        <v>9</v>
      </c>
      <c r="G103" s="1" t="str">
        <f>TEXT(RideData[[#This Row],[timestamp]],"hh:mm")</f>
        <v>11:30</v>
      </c>
    </row>
    <row r="104" spans="1:7">
      <c r="A104" s="1" t="s">
        <v>118</v>
      </c>
      <c r="B104" s="2">
        <v>46169.47916666666</v>
      </c>
      <c r="C104" s="1" t="s">
        <v>8</v>
      </c>
      <c r="D104" s="3">
        <v>0</v>
      </c>
      <c r="E104" s="3">
        <v>4.27</v>
      </c>
      <c r="F104" s="1" t="s">
        <v>15</v>
      </c>
      <c r="G104" s="1" t="str">
        <f>TEXT(RideData[[#This Row],[timestamp]],"hh:mm")</f>
        <v>11:30</v>
      </c>
    </row>
    <row r="105" spans="1:7">
      <c r="A105" s="1" t="s">
        <v>119</v>
      </c>
      <c r="B105" s="2">
        <v>46169.47916666666</v>
      </c>
      <c r="C105" s="1" t="s">
        <v>21</v>
      </c>
      <c r="D105" s="3">
        <v>0</v>
      </c>
      <c r="E105" s="3">
        <v>4.74</v>
      </c>
      <c r="F105" s="1" t="s">
        <v>15</v>
      </c>
      <c r="G105" s="1" t="str">
        <f>TEXT(RideData[[#This Row],[timestamp]],"hh:mm")</f>
        <v>11:30</v>
      </c>
    </row>
    <row r="106" spans="1:7">
      <c r="A106" s="1" t="s">
        <v>120</v>
      </c>
      <c r="B106" s="2">
        <v>46169.47916666666</v>
      </c>
      <c r="C106" s="1" t="s">
        <v>19</v>
      </c>
      <c r="D106" s="3">
        <v>967.0599999999999</v>
      </c>
      <c r="E106" s="3">
        <v>3.85</v>
      </c>
      <c r="F106" s="1" t="s">
        <v>9</v>
      </c>
      <c r="G106" s="1" t="str">
        <f>TEXT(RideData[[#This Row],[timestamp]],"hh:mm")</f>
        <v>11:30</v>
      </c>
    </row>
    <row r="107" spans="1:7">
      <c r="A107" s="1" t="s">
        <v>121</v>
      </c>
      <c r="B107" s="2">
        <v>46169.47916666666</v>
      </c>
      <c r="C107" s="1" t="s">
        <v>19</v>
      </c>
      <c r="D107" s="3">
        <v>1910.82</v>
      </c>
      <c r="E107" s="3">
        <v>4.4</v>
      </c>
      <c r="F107" s="1" t="s">
        <v>9</v>
      </c>
      <c r="G107" s="1" t="str">
        <f>TEXT(RideData[[#This Row],[timestamp]],"hh:mm")</f>
        <v>11:30</v>
      </c>
    </row>
    <row r="108" spans="1:7">
      <c r="A108" s="1" t="s">
        <v>122</v>
      </c>
      <c r="B108" s="2">
        <v>46169.47916666666</v>
      </c>
      <c r="C108" s="1" t="s">
        <v>19</v>
      </c>
      <c r="D108" s="3">
        <v>2868.35</v>
      </c>
      <c r="E108" s="3">
        <v>4.35</v>
      </c>
      <c r="F108" s="1" t="s">
        <v>9</v>
      </c>
      <c r="G108" s="1" t="str">
        <f>TEXT(RideData[[#This Row],[timestamp]],"hh:mm")</f>
        <v>11:30</v>
      </c>
    </row>
    <row r="109" spans="1:7">
      <c r="A109" s="1" t="s">
        <v>123</v>
      </c>
      <c r="B109" s="2">
        <v>46169.47916666666</v>
      </c>
      <c r="C109" s="1" t="s">
        <v>19</v>
      </c>
      <c r="D109" s="3">
        <v>888.45</v>
      </c>
      <c r="E109" s="3">
        <v>4.01</v>
      </c>
      <c r="F109" s="1" t="s">
        <v>9</v>
      </c>
      <c r="G109" s="1" t="str">
        <f>TEXT(RideData[[#This Row],[timestamp]],"hh:mm")</f>
        <v>11:30</v>
      </c>
    </row>
    <row r="110" spans="1:7">
      <c r="A110" s="1" t="s">
        <v>124</v>
      </c>
      <c r="B110" s="2">
        <v>46169.47916666666</v>
      </c>
      <c r="C110" s="1" t="s">
        <v>12</v>
      </c>
      <c r="D110" s="3">
        <v>1017.42</v>
      </c>
      <c r="E110" s="3">
        <v>3.77</v>
      </c>
      <c r="F110" s="1" t="s">
        <v>9</v>
      </c>
      <c r="G110" s="1" t="str">
        <f>TEXT(RideData[[#This Row],[timestamp]],"hh:mm")</f>
        <v>11:30</v>
      </c>
    </row>
    <row r="111" spans="1:7">
      <c r="A111" s="1" t="s">
        <v>125</v>
      </c>
      <c r="B111" s="2">
        <v>46169.47916666666</v>
      </c>
      <c r="C111" s="1" t="s">
        <v>21</v>
      </c>
      <c r="D111" s="3">
        <v>594.95</v>
      </c>
      <c r="E111" s="3">
        <v>3.68</v>
      </c>
      <c r="F111" s="1" t="s">
        <v>9</v>
      </c>
      <c r="G111" s="1" t="str">
        <f>TEXT(RideData[[#This Row],[timestamp]],"hh:mm")</f>
        <v>11:30</v>
      </c>
    </row>
    <row r="112" spans="1:7">
      <c r="A112" s="1" t="s">
        <v>126</v>
      </c>
      <c r="B112" s="2">
        <v>46169.47916666666</v>
      </c>
      <c r="C112" s="1" t="s">
        <v>8</v>
      </c>
      <c r="D112" s="3">
        <v>1905.51</v>
      </c>
      <c r="E112" s="3">
        <v>4.34</v>
      </c>
      <c r="F112" s="1" t="s">
        <v>9</v>
      </c>
      <c r="G112" s="1" t="str">
        <f>TEXT(RideData[[#This Row],[timestamp]],"hh:mm")</f>
        <v>11:30</v>
      </c>
    </row>
    <row r="113" spans="1:7">
      <c r="A113" s="1" t="s">
        <v>127</v>
      </c>
      <c r="B113" s="2">
        <v>46169.47916666666</v>
      </c>
      <c r="C113" s="1" t="s">
        <v>12</v>
      </c>
      <c r="D113" s="3">
        <v>919.85</v>
      </c>
      <c r="E113" s="3">
        <v>3.28</v>
      </c>
      <c r="F113" s="1" t="s">
        <v>9</v>
      </c>
      <c r="G113" s="1" t="str">
        <f>TEXT(RideData[[#This Row],[timestamp]],"hh:mm")</f>
        <v>11:30</v>
      </c>
    </row>
    <row r="114" spans="1:7">
      <c r="A114" s="1" t="s">
        <v>128</v>
      </c>
      <c r="B114" s="2">
        <v>46169.47916666666</v>
      </c>
      <c r="C114" s="1" t="s">
        <v>12</v>
      </c>
      <c r="D114" s="3">
        <v>1371.82</v>
      </c>
      <c r="E114" s="3">
        <v>4.47</v>
      </c>
      <c r="F114" s="1" t="s">
        <v>9</v>
      </c>
      <c r="G114" s="1" t="str">
        <f>TEXT(RideData[[#This Row],[timestamp]],"hh:mm")</f>
        <v>11:30</v>
      </c>
    </row>
    <row r="115" spans="1:7">
      <c r="A115" s="1" t="s">
        <v>129</v>
      </c>
      <c r="B115" s="2">
        <v>46169.47916666666</v>
      </c>
      <c r="C115" s="1" t="s">
        <v>19</v>
      </c>
      <c r="D115" s="3">
        <v>1600.84</v>
      </c>
      <c r="E115" s="3">
        <v>2.74</v>
      </c>
      <c r="F115" s="1" t="s">
        <v>9</v>
      </c>
      <c r="G115" s="1" t="str">
        <f>TEXT(RideData[[#This Row],[timestamp]],"hh:mm")</f>
        <v>11:30</v>
      </c>
    </row>
    <row r="116" spans="1:7">
      <c r="A116" s="1" t="s">
        <v>130</v>
      </c>
      <c r="B116" s="2">
        <v>46169.47916666666</v>
      </c>
      <c r="C116" s="1" t="s">
        <v>12</v>
      </c>
      <c r="D116" s="3">
        <v>0</v>
      </c>
      <c r="E116" s="3">
        <v>4.65</v>
      </c>
      <c r="F116" s="1" t="s">
        <v>15</v>
      </c>
      <c r="G116" s="1" t="str">
        <f>TEXT(RideData[[#This Row],[timestamp]],"hh:mm")</f>
        <v>11:30</v>
      </c>
    </row>
    <row r="117" spans="1:7">
      <c r="A117" s="1" t="s">
        <v>131</v>
      </c>
      <c r="B117" s="2">
        <v>46169.47916666666</v>
      </c>
      <c r="C117" s="1" t="s">
        <v>19</v>
      </c>
      <c r="D117" s="3">
        <v>1514.62</v>
      </c>
      <c r="E117" s="3">
        <v>4.69</v>
      </c>
      <c r="F117" s="1" t="s">
        <v>9</v>
      </c>
      <c r="G117" s="1" t="str">
        <f>TEXT(RideData[[#This Row],[timestamp]],"hh:mm")</f>
        <v>11:30</v>
      </c>
    </row>
    <row r="118" spans="1:7">
      <c r="A118" s="1" t="s">
        <v>132</v>
      </c>
      <c r="B118" s="2">
        <v>46169.47916666666</v>
      </c>
      <c r="C118" s="1" t="s">
        <v>8</v>
      </c>
      <c r="D118" s="3">
        <v>0</v>
      </c>
      <c r="F118" s="1" t="s">
        <v>15</v>
      </c>
      <c r="G118" s="1" t="str">
        <f>TEXT(RideData[[#This Row],[timestamp]],"hh:mm")</f>
        <v>11:30</v>
      </c>
    </row>
    <row r="119" spans="1:7">
      <c r="A119" s="1" t="s">
        <v>133</v>
      </c>
      <c r="B119" s="2">
        <v>46169.47916666666</v>
      </c>
      <c r="C119" s="1" t="s">
        <v>19</v>
      </c>
      <c r="D119" s="3">
        <v>2820.24</v>
      </c>
      <c r="E119" s="3">
        <v>4.25</v>
      </c>
      <c r="F119" s="1" t="s">
        <v>9</v>
      </c>
      <c r="G119" s="1" t="str">
        <f>TEXT(RideData[[#This Row],[timestamp]],"hh:mm")</f>
        <v>11:30</v>
      </c>
    </row>
    <row r="120" spans="1:7">
      <c r="A120" s="1" t="s">
        <v>134</v>
      </c>
      <c r="B120" s="2">
        <v>46169.47916666666</v>
      </c>
      <c r="C120" s="1" t="s">
        <v>19</v>
      </c>
      <c r="D120" s="3">
        <v>0</v>
      </c>
      <c r="E120" s="3">
        <v>4.6</v>
      </c>
      <c r="F120" s="1" t="s">
        <v>15</v>
      </c>
      <c r="G120" s="1" t="str">
        <f>TEXT(RideData[[#This Row],[timestamp]],"hh:mm")</f>
        <v>11:30</v>
      </c>
    </row>
    <row r="121" spans="1:7">
      <c r="A121" s="1" t="s">
        <v>135</v>
      </c>
      <c r="B121" s="2">
        <v>46169.47916666666</v>
      </c>
      <c r="C121" s="1" t="s">
        <v>21</v>
      </c>
      <c r="D121" s="3">
        <v>1194.67</v>
      </c>
      <c r="E121" s="3">
        <v>3.98</v>
      </c>
      <c r="F121" s="1" t="s">
        <v>9</v>
      </c>
      <c r="G121" s="1" t="str">
        <f>TEXT(RideData[[#This Row],[timestamp]],"hh:mm")</f>
        <v>11:30</v>
      </c>
    </row>
    <row r="122" spans="1:7">
      <c r="A122" s="1" t="s">
        <v>136</v>
      </c>
      <c r="B122" s="2">
        <v>46169.47916666666</v>
      </c>
      <c r="C122" s="1" t="s">
        <v>12</v>
      </c>
      <c r="D122" s="3">
        <v>2732.13</v>
      </c>
      <c r="E122" s="3">
        <v>4.43</v>
      </c>
      <c r="F122" s="1" t="s">
        <v>9</v>
      </c>
      <c r="G122" s="1" t="str">
        <f>TEXT(RideData[[#This Row],[timestamp]],"hh:mm")</f>
        <v>11:30</v>
      </c>
    </row>
    <row r="123" spans="1:7">
      <c r="A123" s="1" t="s">
        <v>137</v>
      </c>
      <c r="B123" s="2">
        <v>46169.47916666666</v>
      </c>
      <c r="C123" s="1" t="s">
        <v>19</v>
      </c>
      <c r="D123" s="3">
        <v>1547.53</v>
      </c>
      <c r="E123" s="3">
        <v>3.26</v>
      </c>
      <c r="F123" s="1" t="s">
        <v>9</v>
      </c>
      <c r="G123" s="1" t="str">
        <f>TEXT(RideData[[#This Row],[timestamp]],"hh:mm")</f>
        <v>11:30</v>
      </c>
    </row>
    <row r="124" spans="1:7">
      <c r="A124" s="1" t="s">
        <v>138</v>
      </c>
      <c r="B124" s="2">
        <v>46169.47916666666</v>
      </c>
      <c r="C124" s="1" t="s">
        <v>21</v>
      </c>
      <c r="D124" s="3">
        <v>965.83</v>
      </c>
      <c r="E124" s="3">
        <v>4.31</v>
      </c>
      <c r="F124" s="1" t="s">
        <v>9</v>
      </c>
      <c r="G124" s="1" t="str">
        <f>TEXT(RideData[[#This Row],[timestamp]],"hh:mm")</f>
        <v>11:30</v>
      </c>
    </row>
    <row r="125" spans="1:7">
      <c r="A125" s="1" t="s">
        <v>139</v>
      </c>
      <c r="B125" s="2">
        <v>46169.47916666666</v>
      </c>
      <c r="C125" s="1" t="s">
        <v>19</v>
      </c>
      <c r="D125" s="3">
        <v>2358.45</v>
      </c>
      <c r="E125" s="3">
        <v>4.15</v>
      </c>
      <c r="F125" s="1" t="s">
        <v>9</v>
      </c>
      <c r="G125" s="1" t="str">
        <f>TEXT(RideData[[#This Row],[timestamp]],"hh:mm")</f>
        <v>11:30</v>
      </c>
    </row>
    <row r="126" spans="1:7">
      <c r="A126" s="1" t="s">
        <v>140</v>
      </c>
      <c r="B126" s="2">
        <v>46169.47916666666</v>
      </c>
      <c r="C126" s="1" t="s">
        <v>8</v>
      </c>
      <c r="D126" s="3">
        <v>1699.65</v>
      </c>
      <c r="F126" s="1" t="s">
        <v>9</v>
      </c>
      <c r="G126" s="1" t="str">
        <f>TEXT(RideData[[#This Row],[timestamp]],"hh:mm")</f>
        <v>11:30</v>
      </c>
    </row>
    <row r="127" spans="1:7">
      <c r="A127" s="1" t="s">
        <v>141</v>
      </c>
      <c r="B127" s="2">
        <v>46169.47916666666</v>
      </c>
      <c r="C127" s="1" t="s">
        <v>21</v>
      </c>
      <c r="D127" s="3">
        <v>1281.34</v>
      </c>
      <c r="E127" s="3">
        <v>3.85</v>
      </c>
      <c r="F127" s="1" t="s">
        <v>9</v>
      </c>
      <c r="G127" s="1" t="str">
        <f>TEXT(RideData[[#This Row],[timestamp]],"hh:mm")</f>
        <v>11:30</v>
      </c>
    </row>
    <row r="128" spans="1:7">
      <c r="A128" s="1" t="s">
        <v>142</v>
      </c>
      <c r="B128" s="2">
        <v>46169.47916666666</v>
      </c>
      <c r="C128" s="1" t="s">
        <v>21</v>
      </c>
      <c r="D128" s="3">
        <v>2973.31</v>
      </c>
      <c r="E128" s="3">
        <v>4.8</v>
      </c>
      <c r="F128" s="1" t="s">
        <v>9</v>
      </c>
      <c r="G128" s="1" t="str">
        <f>TEXT(RideData[[#This Row],[timestamp]],"hh:mm")</f>
        <v>11:30</v>
      </c>
    </row>
    <row r="129" spans="1:7">
      <c r="A129" s="1" t="s">
        <v>143</v>
      </c>
      <c r="B129" s="2">
        <v>46169.47916666666</v>
      </c>
      <c r="C129" s="1" t="s">
        <v>19</v>
      </c>
      <c r="D129" s="3">
        <v>0</v>
      </c>
      <c r="E129" s="3">
        <v>3.45</v>
      </c>
      <c r="F129" s="1" t="s">
        <v>15</v>
      </c>
      <c r="G129" s="1" t="str">
        <f>TEXT(RideData[[#This Row],[timestamp]],"hh:mm")</f>
        <v>11:30</v>
      </c>
    </row>
    <row r="130" spans="1:7">
      <c r="A130" s="1" t="s">
        <v>144</v>
      </c>
      <c r="B130" s="2">
        <v>46169.47916666666</v>
      </c>
      <c r="C130" s="1" t="s">
        <v>19</v>
      </c>
      <c r="D130" s="3">
        <v>2412.14</v>
      </c>
      <c r="E130" s="3">
        <v>5</v>
      </c>
      <c r="F130" s="1" t="s">
        <v>9</v>
      </c>
      <c r="G130" s="1" t="str">
        <f>TEXT(RideData[[#This Row],[timestamp]],"hh:mm")</f>
        <v>11:30</v>
      </c>
    </row>
    <row r="131" spans="1:7">
      <c r="A131" s="1" t="s">
        <v>145</v>
      </c>
      <c r="B131" s="2">
        <v>46169.47916666666</v>
      </c>
      <c r="C131" s="1" t="s">
        <v>21</v>
      </c>
      <c r="D131" s="3">
        <v>0</v>
      </c>
      <c r="E131" s="3">
        <v>3.96</v>
      </c>
      <c r="F131" s="1" t="s">
        <v>15</v>
      </c>
      <c r="G131" s="1" t="str">
        <f>TEXT(RideData[[#This Row],[timestamp]],"hh:mm")</f>
        <v>11:30</v>
      </c>
    </row>
    <row r="132" spans="1:7">
      <c r="A132" s="1" t="s">
        <v>146</v>
      </c>
      <c r="B132" s="2">
        <v>46169.47916666666</v>
      </c>
      <c r="C132" s="1" t="s">
        <v>12</v>
      </c>
      <c r="D132" s="3">
        <v>1051.85</v>
      </c>
      <c r="F132" s="1" t="s">
        <v>9</v>
      </c>
      <c r="G132" s="1" t="str">
        <f>TEXT(RideData[[#This Row],[timestamp]],"hh:mm")</f>
        <v>11:30</v>
      </c>
    </row>
    <row r="133" spans="1:7">
      <c r="A133" s="1" t="s">
        <v>147</v>
      </c>
      <c r="B133" s="2">
        <v>46169.47916666666</v>
      </c>
      <c r="C133" s="1" t="s">
        <v>19</v>
      </c>
      <c r="D133" s="3">
        <v>1317.82</v>
      </c>
      <c r="E133" s="3">
        <v>3.27</v>
      </c>
      <c r="F133" s="1" t="s">
        <v>9</v>
      </c>
      <c r="G133" s="1" t="str">
        <f>TEXT(RideData[[#This Row],[timestamp]],"hh:mm")</f>
        <v>11:30</v>
      </c>
    </row>
    <row r="134" spans="1:7">
      <c r="A134" s="1" t="s">
        <v>148</v>
      </c>
      <c r="B134" s="2">
        <v>46169.47916666666</v>
      </c>
      <c r="C134" s="1" t="s">
        <v>8</v>
      </c>
      <c r="D134" s="3">
        <v>1762.5</v>
      </c>
      <c r="E134" s="3">
        <v>3.87</v>
      </c>
      <c r="F134" s="1" t="s">
        <v>9</v>
      </c>
      <c r="G134" s="1" t="str">
        <f>TEXT(RideData[[#This Row],[timestamp]],"hh:mm")</f>
        <v>11:30</v>
      </c>
    </row>
    <row r="135" spans="1:7">
      <c r="A135" s="1" t="s">
        <v>149</v>
      </c>
      <c r="B135" s="2">
        <v>46169.47916666666</v>
      </c>
      <c r="C135" s="1" t="s">
        <v>21</v>
      </c>
      <c r="D135" s="3">
        <v>0</v>
      </c>
      <c r="E135" s="3">
        <v>4.17</v>
      </c>
      <c r="F135" s="1" t="s">
        <v>17</v>
      </c>
      <c r="G135" s="1" t="str">
        <f>TEXT(RideData[[#This Row],[timestamp]],"hh:mm")</f>
        <v>11:30</v>
      </c>
    </row>
    <row r="136" spans="1:7">
      <c r="A136" s="1" t="s">
        <v>150</v>
      </c>
      <c r="B136" s="2">
        <v>46169.47916666666</v>
      </c>
      <c r="C136" s="1" t="s">
        <v>8</v>
      </c>
      <c r="D136" s="3">
        <v>0</v>
      </c>
      <c r="E136" s="3">
        <v>4.06</v>
      </c>
      <c r="F136" s="1" t="s">
        <v>17</v>
      </c>
      <c r="G136" s="1" t="str">
        <f>TEXT(RideData[[#This Row],[timestamp]],"hh:mm")</f>
        <v>11:30</v>
      </c>
    </row>
    <row r="137" spans="1:7">
      <c r="A137" s="1" t="s">
        <v>151</v>
      </c>
      <c r="B137" s="2">
        <v>46169.47916666666</v>
      </c>
      <c r="C137" s="1" t="s">
        <v>21</v>
      </c>
      <c r="D137" s="3">
        <v>0</v>
      </c>
      <c r="F137" s="1" t="s">
        <v>15</v>
      </c>
      <c r="G137" s="1" t="str">
        <f>TEXT(RideData[[#This Row],[timestamp]],"hh:mm")</f>
        <v>11:30</v>
      </c>
    </row>
    <row r="138" spans="1:7">
      <c r="A138" s="1" t="s">
        <v>152</v>
      </c>
      <c r="B138" s="2">
        <v>46169.47916666666</v>
      </c>
      <c r="C138" s="1" t="s">
        <v>19</v>
      </c>
      <c r="D138" s="3">
        <v>1618.36</v>
      </c>
      <c r="E138" s="3">
        <v>4.13</v>
      </c>
      <c r="F138" s="1" t="s">
        <v>9</v>
      </c>
      <c r="G138" s="1" t="str">
        <f>TEXT(RideData[[#This Row],[timestamp]],"hh:mm")</f>
        <v>11:30</v>
      </c>
    </row>
    <row r="139" spans="1:7">
      <c r="A139" s="1" t="s">
        <v>153</v>
      </c>
      <c r="B139" s="2">
        <v>46169.47916666666</v>
      </c>
      <c r="C139" s="1" t="s">
        <v>8</v>
      </c>
      <c r="D139" s="3">
        <v>1854.24</v>
      </c>
      <c r="E139" s="3">
        <v>4.4</v>
      </c>
      <c r="F139" s="1" t="s">
        <v>9</v>
      </c>
      <c r="G139" s="1" t="str">
        <f>TEXT(RideData[[#This Row],[timestamp]],"hh:mm")</f>
        <v>11:30</v>
      </c>
    </row>
    <row r="140" spans="1:7">
      <c r="A140" s="1" t="s">
        <v>154</v>
      </c>
      <c r="B140" s="2">
        <v>46169.47916666666</v>
      </c>
      <c r="C140" s="1" t="s">
        <v>21</v>
      </c>
      <c r="D140" s="3">
        <v>0</v>
      </c>
      <c r="F140" s="1" t="s">
        <v>17</v>
      </c>
      <c r="G140" s="1" t="str">
        <f>TEXT(RideData[[#This Row],[timestamp]],"hh:mm")</f>
        <v>11:30</v>
      </c>
    </row>
    <row r="141" spans="1:7">
      <c r="A141" s="1" t="s">
        <v>155</v>
      </c>
      <c r="B141" s="2">
        <v>46169.47916666666</v>
      </c>
      <c r="C141" s="1" t="s">
        <v>19</v>
      </c>
      <c r="D141" s="3">
        <v>2349.8</v>
      </c>
      <c r="E141" s="3">
        <v>4.28</v>
      </c>
      <c r="F141" s="1" t="s">
        <v>9</v>
      </c>
      <c r="G141" s="1" t="str">
        <f>TEXT(RideData[[#This Row],[timestamp]],"hh:mm")</f>
        <v>11:30</v>
      </c>
    </row>
    <row r="142" spans="1:7">
      <c r="A142" s="1" t="s">
        <v>156</v>
      </c>
      <c r="B142" s="2">
        <v>46169.47916666666</v>
      </c>
      <c r="C142" s="1" t="s">
        <v>21</v>
      </c>
      <c r="D142" s="3">
        <v>1677.54</v>
      </c>
      <c r="E142" s="3">
        <v>4.35</v>
      </c>
      <c r="F142" s="1" t="s">
        <v>9</v>
      </c>
      <c r="G142" s="1" t="str">
        <f>TEXT(RideData[[#This Row],[timestamp]],"hh:mm")</f>
        <v>11:30</v>
      </c>
    </row>
    <row r="143" spans="1:7">
      <c r="A143" s="1" t="s">
        <v>157</v>
      </c>
      <c r="B143" s="2">
        <v>46169.47916666666</v>
      </c>
      <c r="C143" s="1" t="s">
        <v>19</v>
      </c>
      <c r="D143" s="3">
        <v>0</v>
      </c>
      <c r="F143" s="1" t="s">
        <v>15</v>
      </c>
      <c r="G143" s="1" t="str">
        <f>TEXT(RideData[[#This Row],[timestamp]],"hh:mm")</f>
        <v>11:30</v>
      </c>
    </row>
    <row r="144" spans="1:7">
      <c r="A144" s="1" t="s">
        <v>158</v>
      </c>
      <c r="B144" s="2">
        <v>46169.47916666666</v>
      </c>
      <c r="C144" s="1" t="s">
        <v>8</v>
      </c>
      <c r="D144" s="3">
        <v>1627.11</v>
      </c>
      <c r="E144" s="3">
        <v>4.06</v>
      </c>
      <c r="F144" s="1" t="s">
        <v>9</v>
      </c>
      <c r="G144" s="1" t="str">
        <f>TEXT(RideData[[#This Row],[timestamp]],"hh:mm")</f>
        <v>11:30</v>
      </c>
    </row>
    <row r="145" spans="1:7">
      <c r="A145" s="1" t="s">
        <v>159</v>
      </c>
      <c r="B145" s="2">
        <v>46169.47916666666</v>
      </c>
      <c r="C145" s="1" t="s">
        <v>12</v>
      </c>
      <c r="D145" s="3">
        <v>0</v>
      </c>
      <c r="E145" s="3">
        <v>3.86</v>
      </c>
      <c r="F145" s="1" t="s">
        <v>15</v>
      </c>
      <c r="G145" s="1" t="str">
        <f>TEXT(RideData[[#This Row],[timestamp]],"hh:mm")</f>
        <v>11:30</v>
      </c>
    </row>
    <row r="146" spans="1:7">
      <c r="A146" s="1" t="s">
        <v>160</v>
      </c>
      <c r="B146" s="2">
        <v>46169.47916666666</v>
      </c>
      <c r="C146" s="1" t="s">
        <v>8</v>
      </c>
      <c r="D146" s="3">
        <v>1511.29</v>
      </c>
      <c r="E146" s="3">
        <v>3.61</v>
      </c>
      <c r="F146" s="1" t="s">
        <v>9</v>
      </c>
      <c r="G146" s="1" t="str">
        <f>TEXT(RideData[[#This Row],[timestamp]],"hh:mm")</f>
        <v>11:30</v>
      </c>
    </row>
    <row r="147" spans="1:7">
      <c r="A147" s="1" t="s">
        <v>161</v>
      </c>
      <c r="B147" s="2">
        <v>46169.47916666666</v>
      </c>
      <c r="C147" s="1" t="s">
        <v>8</v>
      </c>
      <c r="D147" s="3">
        <v>1004.44</v>
      </c>
      <c r="E147" s="3">
        <v>4.45</v>
      </c>
      <c r="F147" s="1" t="s">
        <v>9</v>
      </c>
      <c r="G147" s="1" t="str">
        <f>TEXT(RideData[[#This Row],[timestamp]],"hh:mm")</f>
        <v>11:30</v>
      </c>
    </row>
    <row r="148" spans="1:7">
      <c r="A148" s="1" t="s">
        <v>162</v>
      </c>
      <c r="B148" s="2">
        <v>46169.47916666666</v>
      </c>
      <c r="C148" s="1" t="s">
        <v>8</v>
      </c>
      <c r="D148" s="3">
        <v>1262.88</v>
      </c>
      <c r="E148" s="3">
        <v>4.41</v>
      </c>
      <c r="F148" s="1" t="s">
        <v>9</v>
      </c>
      <c r="G148" s="1" t="str">
        <f>TEXT(RideData[[#This Row],[timestamp]],"hh:mm")</f>
        <v>11:30</v>
      </c>
    </row>
    <row r="149" spans="1:7">
      <c r="A149" s="1" t="s">
        <v>163</v>
      </c>
      <c r="B149" s="2">
        <v>46169.47916666666</v>
      </c>
      <c r="C149" s="1" t="s">
        <v>19</v>
      </c>
      <c r="D149" s="3">
        <v>0</v>
      </c>
      <c r="E149" s="3">
        <v>4.26</v>
      </c>
      <c r="F149" s="1" t="s">
        <v>17</v>
      </c>
      <c r="G149" s="1" t="str">
        <f>TEXT(RideData[[#This Row],[timestamp]],"hh:mm")</f>
        <v>11:30</v>
      </c>
    </row>
    <row r="150" spans="1:7">
      <c r="A150" s="1" t="s">
        <v>164</v>
      </c>
      <c r="B150" s="2">
        <v>46169.47916666666</v>
      </c>
      <c r="C150" s="1" t="s">
        <v>12</v>
      </c>
      <c r="D150" s="3">
        <v>1785.94</v>
      </c>
      <c r="E150" s="3">
        <v>4.11</v>
      </c>
      <c r="F150" s="1" t="s">
        <v>9</v>
      </c>
      <c r="G150" s="1" t="str">
        <f>TEXT(RideData[[#This Row],[timestamp]],"hh:mm")</f>
        <v>11:30</v>
      </c>
    </row>
    <row r="151" spans="1:7">
      <c r="A151" s="1" t="s">
        <v>165</v>
      </c>
      <c r="B151" s="2">
        <v>46169.47916666666</v>
      </c>
      <c r="C151" s="1" t="s">
        <v>8</v>
      </c>
      <c r="D151" s="3">
        <v>0</v>
      </c>
      <c r="F151" s="1" t="s">
        <v>15</v>
      </c>
      <c r="G151" s="1" t="str">
        <f>TEXT(RideData[[#This Row],[timestamp]],"hh:mm")</f>
        <v>11:30</v>
      </c>
    </row>
    <row r="152" spans="1:7">
      <c r="A152" s="1" t="s">
        <v>166</v>
      </c>
      <c r="B152" s="2">
        <v>46169.48263888889</v>
      </c>
      <c r="C152" s="1" t="s">
        <v>8</v>
      </c>
      <c r="D152" s="3">
        <v>0</v>
      </c>
      <c r="E152" s="3">
        <v>3.89</v>
      </c>
      <c r="F152" s="1" t="s">
        <v>15</v>
      </c>
      <c r="G152" s="1" t="str">
        <f>TEXT(RideData[[#This Row],[timestamp]],"hh:mm")</f>
        <v>11:35</v>
      </c>
    </row>
    <row r="153" spans="1:7">
      <c r="A153" s="1" t="s">
        <v>168</v>
      </c>
      <c r="B153" s="2">
        <v>46169.48263888889</v>
      </c>
      <c r="C153" s="1" t="s">
        <v>19</v>
      </c>
      <c r="D153" s="3">
        <v>0</v>
      </c>
      <c r="E153" s="3">
        <v>3.67</v>
      </c>
      <c r="F153" s="1" t="s">
        <v>17</v>
      </c>
      <c r="G153" s="1" t="str">
        <f>TEXT(RideData[[#This Row],[timestamp]],"hh:mm")</f>
        <v>11:35</v>
      </c>
    </row>
    <row r="154" spans="1:7">
      <c r="A154" s="1" t="s">
        <v>169</v>
      </c>
      <c r="B154" s="2">
        <v>46169.48263888889</v>
      </c>
      <c r="C154" s="1" t="s">
        <v>8</v>
      </c>
      <c r="D154" s="3">
        <v>1117.25</v>
      </c>
      <c r="E154" s="3">
        <v>4.6</v>
      </c>
      <c r="F154" s="1" t="s">
        <v>9</v>
      </c>
      <c r="G154" s="1" t="str">
        <f>TEXT(RideData[[#This Row],[timestamp]],"hh:mm")</f>
        <v>11:35</v>
      </c>
    </row>
    <row r="155" spans="1:7">
      <c r="A155" s="1" t="s">
        <v>170</v>
      </c>
      <c r="B155" s="2">
        <v>46169.48263888889</v>
      </c>
      <c r="C155" s="1" t="s">
        <v>8</v>
      </c>
      <c r="D155" s="3">
        <v>820.52</v>
      </c>
      <c r="E155" s="3">
        <v>4.17</v>
      </c>
      <c r="F155" s="1" t="s">
        <v>9</v>
      </c>
      <c r="G155" s="1" t="str">
        <f>TEXT(RideData[[#This Row],[timestamp]],"hh:mm")</f>
        <v>11:35</v>
      </c>
    </row>
    <row r="156" spans="1:7">
      <c r="A156" s="1" t="s">
        <v>171</v>
      </c>
      <c r="B156" s="2">
        <v>46169.48263888889</v>
      </c>
      <c r="C156" s="1" t="s">
        <v>12</v>
      </c>
      <c r="D156" s="3">
        <v>1366.46</v>
      </c>
      <c r="E156" s="3">
        <v>4.47</v>
      </c>
      <c r="F156" s="1" t="s">
        <v>9</v>
      </c>
      <c r="G156" s="1" t="str">
        <f>TEXT(RideData[[#This Row],[timestamp]],"hh:mm")</f>
        <v>11:35</v>
      </c>
    </row>
    <row r="157" spans="1:7">
      <c r="A157" s="1" t="s">
        <v>172</v>
      </c>
      <c r="B157" s="2">
        <v>46169.48263888889</v>
      </c>
      <c r="C157" s="1" t="s">
        <v>12</v>
      </c>
      <c r="D157" s="3">
        <v>0</v>
      </c>
      <c r="E157" s="3">
        <v>3.49</v>
      </c>
      <c r="F157" s="1" t="s">
        <v>17</v>
      </c>
      <c r="G157" s="1" t="str">
        <f>TEXT(RideData[[#This Row],[timestamp]],"hh:mm")</f>
        <v>11:35</v>
      </c>
    </row>
    <row r="158" spans="1:7">
      <c r="A158" s="1" t="s">
        <v>173</v>
      </c>
      <c r="B158" s="2">
        <v>46169.48263888889</v>
      </c>
      <c r="C158" s="1" t="s">
        <v>12</v>
      </c>
      <c r="D158" s="3">
        <v>1456.82</v>
      </c>
      <c r="E158" s="3">
        <v>4.32</v>
      </c>
      <c r="F158" s="1" t="s">
        <v>9</v>
      </c>
      <c r="G158" s="1" t="str">
        <f>TEXT(RideData[[#This Row],[timestamp]],"hh:mm")</f>
        <v>11:35</v>
      </c>
    </row>
    <row r="159" spans="1:7">
      <c r="A159" s="1" t="s">
        <v>174</v>
      </c>
      <c r="B159" s="2">
        <v>46169.48263888889</v>
      </c>
      <c r="C159" s="1" t="s">
        <v>19</v>
      </c>
      <c r="D159" s="3">
        <v>1144.73</v>
      </c>
      <c r="E159" s="3">
        <v>3.99</v>
      </c>
      <c r="F159" s="1" t="s">
        <v>9</v>
      </c>
      <c r="G159" s="1" t="str">
        <f>TEXT(RideData[[#This Row],[timestamp]],"hh:mm")</f>
        <v>11:35</v>
      </c>
    </row>
    <row r="160" spans="1:7">
      <c r="A160" s="1" t="s">
        <v>175</v>
      </c>
      <c r="B160" s="2">
        <v>46169.48263888889</v>
      </c>
      <c r="C160" s="1" t="s">
        <v>19</v>
      </c>
      <c r="D160" s="3">
        <v>2456.77</v>
      </c>
      <c r="E160" s="3">
        <v>4.72</v>
      </c>
      <c r="F160" s="1" t="s">
        <v>9</v>
      </c>
      <c r="G160" s="1" t="str">
        <f>TEXT(RideData[[#This Row],[timestamp]],"hh:mm")</f>
        <v>11:35</v>
      </c>
    </row>
    <row r="161" spans="1:7">
      <c r="A161" s="1" t="s">
        <v>176</v>
      </c>
      <c r="B161" s="2">
        <v>46169.48263888889</v>
      </c>
      <c r="C161" s="1" t="s">
        <v>12</v>
      </c>
      <c r="D161" s="3">
        <v>703.66</v>
      </c>
      <c r="E161" s="3">
        <v>4.06</v>
      </c>
      <c r="F161" s="1" t="s">
        <v>9</v>
      </c>
      <c r="G161" s="1" t="str">
        <f>TEXT(RideData[[#This Row],[timestamp]],"hh:mm")</f>
        <v>11:35</v>
      </c>
    </row>
    <row r="162" spans="1:7">
      <c r="A162" s="1" t="s">
        <v>177</v>
      </c>
      <c r="B162" s="2">
        <v>46169.48263888889</v>
      </c>
      <c r="C162" s="1" t="s">
        <v>8</v>
      </c>
      <c r="D162" s="3">
        <v>0</v>
      </c>
      <c r="F162" s="1" t="s">
        <v>15</v>
      </c>
      <c r="G162" s="1" t="str">
        <f>TEXT(RideData[[#This Row],[timestamp]],"hh:mm")</f>
        <v>11:35</v>
      </c>
    </row>
    <row r="163" spans="1:7">
      <c r="A163" s="1" t="s">
        <v>178</v>
      </c>
      <c r="B163" s="2">
        <v>46169.48263888889</v>
      </c>
      <c r="C163" s="1" t="s">
        <v>21</v>
      </c>
      <c r="D163" s="3">
        <v>2778.61</v>
      </c>
      <c r="E163" s="3">
        <v>4.82</v>
      </c>
      <c r="F163" s="1" t="s">
        <v>9</v>
      </c>
      <c r="G163" s="1" t="str">
        <f>TEXT(RideData[[#This Row],[timestamp]],"hh:mm")</f>
        <v>11:35</v>
      </c>
    </row>
    <row r="164" spans="1:7">
      <c r="A164" s="1" t="s">
        <v>179</v>
      </c>
      <c r="B164" s="2">
        <v>46169.48263888889</v>
      </c>
      <c r="C164" s="1" t="s">
        <v>12</v>
      </c>
      <c r="D164" s="3">
        <v>2262.39</v>
      </c>
      <c r="E164" s="3">
        <v>3.99</v>
      </c>
      <c r="F164" s="1" t="s">
        <v>9</v>
      </c>
      <c r="G164" s="1" t="str">
        <f>TEXT(RideData[[#This Row],[timestamp]],"hh:mm")</f>
        <v>11:35</v>
      </c>
    </row>
    <row r="165" spans="1:7">
      <c r="A165" s="1" t="s">
        <v>180</v>
      </c>
      <c r="B165" s="2">
        <v>46169.48263888889</v>
      </c>
      <c r="C165" s="1" t="s">
        <v>8</v>
      </c>
      <c r="D165" s="3">
        <v>1645.12</v>
      </c>
      <c r="E165" s="3">
        <v>4.56</v>
      </c>
      <c r="F165" s="1" t="s">
        <v>9</v>
      </c>
      <c r="G165" s="1" t="str">
        <f>TEXT(RideData[[#This Row],[timestamp]],"hh:mm")</f>
        <v>11:35</v>
      </c>
    </row>
    <row r="166" spans="1:7">
      <c r="A166" s="1" t="s">
        <v>181</v>
      </c>
      <c r="B166" s="2">
        <v>46169.48263888889</v>
      </c>
      <c r="C166" s="1" t="s">
        <v>12</v>
      </c>
      <c r="D166" s="3">
        <v>860.59</v>
      </c>
      <c r="E166" s="3">
        <v>3.57</v>
      </c>
      <c r="F166" s="1" t="s">
        <v>9</v>
      </c>
      <c r="G166" s="1" t="str">
        <f>TEXT(RideData[[#This Row],[timestamp]],"hh:mm")</f>
        <v>11:35</v>
      </c>
    </row>
    <row r="167" spans="1:7">
      <c r="A167" s="1" t="s">
        <v>182</v>
      </c>
      <c r="B167" s="2">
        <v>46169.48263888889</v>
      </c>
      <c r="C167" s="1" t="s">
        <v>8</v>
      </c>
      <c r="D167" s="3">
        <v>1296</v>
      </c>
      <c r="E167" s="3">
        <v>4.87</v>
      </c>
      <c r="F167" s="1" t="s">
        <v>9</v>
      </c>
      <c r="G167" s="1" t="str">
        <f>TEXT(RideData[[#This Row],[timestamp]],"hh:mm")</f>
        <v>11:35</v>
      </c>
    </row>
    <row r="168" spans="1:7">
      <c r="A168" s="1" t="s">
        <v>183</v>
      </c>
      <c r="B168" s="2">
        <v>46169.48263888889</v>
      </c>
      <c r="C168" s="1" t="s">
        <v>21</v>
      </c>
      <c r="D168" s="3">
        <v>1243.41</v>
      </c>
      <c r="E168" s="3">
        <v>3.73</v>
      </c>
      <c r="F168" s="1" t="s">
        <v>9</v>
      </c>
      <c r="G168" s="1" t="str">
        <f>TEXT(RideData[[#This Row],[timestamp]],"hh:mm")</f>
        <v>11:35</v>
      </c>
    </row>
    <row r="169" spans="1:7">
      <c r="A169" s="1" t="s">
        <v>184</v>
      </c>
      <c r="B169" s="2">
        <v>46169.48263888889</v>
      </c>
      <c r="C169" s="1" t="s">
        <v>8</v>
      </c>
      <c r="D169" s="3">
        <v>0</v>
      </c>
      <c r="E169" s="3">
        <v>4.75</v>
      </c>
      <c r="F169" s="1" t="s">
        <v>17</v>
      </c>
      <c r="G169" s="1" t="str">
        <f>TEXT(RideData[[#This Row],[timestamp]],"hh:mm")</f>
        <v>11:35</v>
      </c>
    </row>
    <row r="170" spans="1:7">
      <c r="A170" s="1" t="s">
        <v>185</v>
      </c>
      <c r="B170" s="2">
        <v>46169.48263888889</v>
      </c>
      <c r="C170" s="1" t="s">
        <v>21</v>
      </c>
      <c r="D170" s="3">
        <v>1008.61</v>
      </c>
      <c r="E170" s="3">
        <v>4.1</v>
      </c>
      <c r="F170" s="1" t="s">
        <v>9</v>
      </c>
      <c r="G170" s="1" t="str">
        <f>TEXT(RideData[[#This Row],[timestamp]],"hh:mm")</f>
        <v>11:35</v>
      </c>
    </row>
    <row r="171" spans="1:7">
      <c r="A171" s="1" t="s">
        <v>186</v>
      </c>
      <c r="B171" s="2">
        <v>46169.48263888889</v>
      </c>
      <c r="C171" s="1" t="s">
        <v>19</v>
      </c>
      <c r="D171" s="3">
        <v>0</v>
      </c>
      <c r="E171" s="3">
        <v>3.2</v>
      </c>
      <c r="F171" s="1" t="s">
        <v>15</v>
      </c>
      <c r="G171" s="1" t="str">
        <f>TEXT(RideData[[#This Row],[timestamp]],"hh:mm")</f>
        <v>11:35</v>
      </c>
    </row>
    <row r="172" spans="1:7">
      <c r="A172" s="1" t="s">
        <v>187</v>
      </c>
      <c r="B172" s="2">
        <v>46169.48263888889</v>
      </c>
      <c r="C172" s="1" t="s">
        <v>8</v>
      </c>
      <c r="D172" s="3">
        <v>1539.5</v>
      </c>
      <c r="E172" s="3">
        <v>4.17</v>
      </c>
      <c r="F172" s="1" t="s">
        <v>9</v>
      </c>
      <c r="G172" s="1" t="str">
        <f>TEXT(RideData[[#This Row],[timestamp]],"hh:mm")</f>
        <v>11:35</v>
      </c>
    </row>
    <row r="173" spans="1:7">
      <c r="A173" s="1" t="s">
        <v>188</v>
      </c>
      <c r="B173" s="2">
        <v>46169.48263888889</v>
      </c>
      <c r="C173" s="1" t="s">
        <v>19</v>
      </c>
      <c r="D173" s="3">
        <v>0</v>
      </c>
      <c r="E173" s="3">
        <v>3.2</v>
      </c>
      <c r="F173" s="1" t="s">
        <v>15</v>
      </c>
      <c r="G173" s="1" t="str">
        <f>TEXT(RideData[[#This Row],[timestamp]],"hh:mm")</f>
        <v>11:35</v>
      </c>
    </row>
    <row r="174" spans="1:7">
      <c r="A174" s="1" t="s">
        <v>189</v>
      </c>
      <c r="B174" s="2">
        <v>46169.48263888889</v>
      </c>
      <c r="C174" s="1" t="s">
        <v>21</v>
      </c>
      <c r="D174" s="3">
        <v>1334.21</v>
      </c>
      <c r="E174" s="3">
        <v>4.75</v>
      </c>
      <c r="F174" s="1" t="s">
        <v>9</v>
      </c>
      <c r="G174" s="1" t="str">
        <f>TEXT(RideData[[#This Row],[timestamp]],"hh:mm")</f>
        <v>11:35</v>
      </c>
    </row>
    <row r="175" spans="1:7">
      <c r="A175" s="1" t="s">
        <v>190</v>
      </c>
      <c r="B175" s="2">
        <v>46169.48263888889</v>
      </c>
      <c r="C175" s="1" t="s">
        <v>21</v>
      </c>
      <c r="D175" s="3">
        <v>1182.65</v>
      </c>
      <c r="E175" s="3">
        <v>4.64</v>
      </c>
      <c r="F175" s="1" t="s">
        <v>9</v>
      </c>
      <c r="G175" s="1" t="str">
        <f>TEXT(RideData[[#This Row],[timestamp]],"hh:mm")</f>
        <v>11:35</v>
      </c>
    </row>
    <row r="176" spans="1:7">
      <c r="A176" s="1" t="s">
        <v>191</v>
      </c>
      <c r="B176" s="2">
        <v>46169.48263888889</v>
      </c>
      <c r="C176" s="1" t="s">
        <v>12</v>
      </c>
      <c r="D176" s="3">
        <v>2062.72</v>
      </c>
      <c r="E176" s="3">
        <v>4.76</v>
      </c>
      <c r="F176" s="1" t="s">
        <v>9</v>
      </c>
      <c r="G176" s="1" t="str">
        <f>TEXT(RideData[[#This Row],[timestamp]],"hh:mm")</f>
        <v>11:35</v>
      </c>
    </row>
    <row r="177" spans="1:7">
      <c r="A177" s="1" t="s">
        <v>192</v>
      </c>
      <c r="B177" s="2">
        <v>46169.48263888889</v>
      </c>
      <c r="C177" s="1" t="s">
        <v>8</v>
      </c>
      <c r="D177" s="3">
        <v>1648.28</v>
      </c>
      <c r="E177" s="3">
        <v>3.96</v>
      </c>
      <c r="F177" s="1" t="s">
        <v>9</v>
      </c>
      <c r="G177" s="1" t="str">
        <f>TEXT(RideData[[#This Row],[timestamp]],"hh:mm")</f>
        <v>11:35</v>
      </c>
    </row>
    <row r="178" spans="1:7">
      <c r="A178" s="1" t="s">
        <v>193</v>
      </c>
      <c r="B178" s="2">
        <v>46169.48263888889</v>
      </c>
      <c r="C178" s="1" t="s">
        <v>12</v>
      </c>
      <c r="D178" s="3">
        <v>2031.4</v>
      </c>
      <c r="E178" s="3">
        <v>3.92</v>
      </c>
      <c r="F178" s="1" t="s">
        <v>9</v>
      </c>
      <c r="G178" s="1" t="str">
        <f>TEXT(RideData[[#This Row],[timestamp]],"hh:mm")</f>
        <v>11:35</v>
      </c>
    </row>
    <row r="179" spans="1:7">
      <c r="A179" s="1" t="s">
        <v>194</v>
      </c>
      <c r="B179" s="2">
        <v>46169.48263888889</v>
      </c>
      <c r="C179" s="1" t="s">
        <v>8</v>
      </c>
      <c r="D179" s="3">
        <v>903.27</v>
      </c>
      <c r="F179" s="1" t="s">
        <v>9</v>
      </c>
      <c r="G179" s="1" t="str">
        <f>TEXT(RideData[[#This Row],[timestamp]],"hh:mm")</f>
        <v>11:35</v>
      </c>
    </row>
    <row r="180" spans="1:7">
      <c r="A180" s="1" t="s">
        <v>195</v>
      </c>
      <c r="B180" s="2">
        <v>46169.48263888889</v>
      </c>
      <c r="C180" s="1" t="s">
        <v>19</v>
      </c>
      <c r="D180" s="3">
        <v>3658.92</v>
      </c>
      <c r="E180" s="3">
        <v>4.35</v>
      </c>
      <c r="F180" s="1" t="s">
        <v>9</v>
      </c>
      <c r="G180" s="1" t="str">
        <f>TEXT(RideData[[#This Row],[timestamp]],"hh:mm")</f>
        <v>11:35</v>
      </c>
    </row>
    <row r="181" spans="1:7">
      <c r="A181" s="1" t="s">
        <v>196</v>
      </c>
      <c r="B181" s="2">
        <v>46169.48263888889</v>
      </c>
      <c r="C181" s="1" t="s">
        <v>19</v>
      </c>
      <c r="D181" s="3">
        <v>1368.87</v>
      </c>
      <c r="E181" s="3">
        <v>3.45</v>
      </c>
      <c r="F181" s="1" t="s">
        <v>9</v>
      </c>
      <c r="G181" s="1" t="str">
        <f>TEXT(RideData[[#This Row],[timestamp]],"hh:mm")</f>
        <v>11:35</v>
      </c>
    </row>
    <row r="182" spans="1:7">
      <c r="A182" s="1" t="s">
        <v>197</v>
      </c>
      <c r="B182" s="2">
        <v>46169.48263888889</v>
      </c>
      <c r="C182" s="1" t="s">
        <v>21</v>
      </c>
      <c r="D182" s="3">
        <v>834.2</v>
      </c>
      <c r="E182" s="3">
        <v>3.82</v>
      </c>
      <c r="F182" s="1" t="s">
        <v>9</v>
      </c>
      <c r="G182" s="1" t="str">
        <f>TEXT(RideData[[#This Row],[timestamp]],"hh:mm")</f>
        <v>11:35</v>
      </c>
    </row>
    <row r="183" spans="1:7">
      <c r="A183" s="1" t="s">
        <v>198</v>
      </c>
      <c r="B183" s="2">
        <v>46169.48263888889</v>
      </c>
      <c r="C183" s="1" t="s">
        <v>8</v>
      </c>
      <c r="D183" s="3">
        <v>0</v>
      </c>
      <c r="E183" s="3">
        <v>4.19</v>
      </c>
      <c r="F183" s="1" t="s">
        <v>15</v>
      </c>
      <c r="G183" s="1" t="str">
        <f>TEXT(RideData[[#This Row],[timestamp]],"hh:mm")</f>
        <v>11:35</v>
      </c>
    </row>
    <row r="184" spans="1:7">
      <c r="A184" s="1" t="s">
        <v>199</v>
      </c>
      <c r="B184" s="2">
        <v>46169.48263888889</v>
      </c>
      <c r="C184" s="1" t="s">
        <v>8</v>
      </c>
      <c r="D184" s="3">
        <v>0</v>
      </c>
      <c r="E184" s="3">
        <v>4.03</v>
      </c>
      <c r="F184" s="1" t="s">
        <v>15</v>
      </c>
      <c r="G184" s="1" t="str">
        <f>TEXT(RideData[[#This Row],[timestamp]],"hh:mm")</f>
        <v>11:35</v>
      </c>
    </row>
    <row r="185" spans="1:7">
      <c r="A185" s="1" t="s">
        <v>200</v>
      </c>
      <c r="B185" s="2">
        <v>46169.48263888889</v>
      </c>
      <c r="C185" s="1" t="s">
        <v>21</v>
      </c>
      <c r="D185" s="3">
        <v>1215.05</v>
      </c>
      <c r="E185" s="3">
        <v>4.36</v>
      </c>
      <c r="F185" s="1" t="s">
        <v>9</v>
      </c>
      <c r="G185" s="1" t="str">
        <f>TEXT(RideData[[#This Row],[timestamp]],"hh:mm")</f>
        <v>11:35</v>
      </c>
    </row>
    <row r="186" spans="1:7">
      <c r="A186" s="1" t="s">
        <v>201</v>
      </c>
      <c r="B186" s="2">
        <v>46169.48263888889</v>
      </c>
      <c r="C186" s="1" t="s">
        <v>19</v>
      </c>
      <c r="D186" s="3">
        <v>967.13</v>
      </c>
      <c r="E186" s="3">
        <v>4.64</v>
      </c>
      <c r="F186" s="1" t="s">
        <v>9</v>
      </c>
      <c r="G186" s="1" t="str">
        <f>TEXT(RideData[[#This Row],[timestamp]],"hh:mm")</f>
        <v>11:35</v>
      </c>
    </row>
    <row r="187" spans="1:7">
      <c r="A187" s="1" t="s">
        <v>202</v>
      </c>
      <c r="B187" s="2">
        <v>46169.48263888889</v>
      </c>
      <c r="C187" s="1" t="s">
        <v>19</v>
      </c>
      <c r="D187" s="3">
        <v>2317.02</v>
      </c>
      <c r="E187" s="3">
        <v>3.3</v>
      </c>
      <c r="F187" s="1" t="s">
        <v>9</v>
      </c>
      <c r="G187" s="1" t="str">
        <f>TEXT(RideData[[#This Row],[timestamp]],"hh:mm")</f>
        <v>11:35</v>
      </c>
    </row>
    <row r="188" spans="1:7">
      <c r="A188" s="1" t="s">
        <v>203</v>
      </c>
      <c r="B188" s="2">
        <v>46169.48263888889</v>
      </c>
      <c r="C188" s="1" t="s">
        <v>21</v>
      </c>
      <c r="D188" s="3">
        <v>1625.29</v>
      </c>
      <c r="E188" s="3">
        <v>4.49</v>
      </c>
      <c r="F188" s="1" t="s">
        <v>9</v>
      </c>
      <c r="G188" s="1" t="str">
        <f>TEXT(RideData[[#This Row],[timestamp]],"hh:mm")</f>
        <v>11:35</v>
      </c>
    </row>
    <row r="189" spans="1:7">
      <c r="A189" s="1" t="s">
        <v>204</v>
      </c>
      <c r="B189" s="2">
        <v>46169.48263888889</v>
      </c>
      <c r="C189" s="1" t="s">
        <v>19</v>
      </c>
      <c r="D189" s="3">
        <v>0</v>
      </c>
      <c r="E189" s="3">
        <v>4.26</v>
      </c>
      <c r="F189" s="1" t="s">
        <v>15</v>
      </c>
      <c r="G189" s="1" t="str">
        <f>TEXT(RideData[[#This Row],[timestamp]],"hh:mm")</f>
        <v>11:35</v>
      </c>
    </row>
    <row r="190" spans="1:7">
      <c r="A190" s="1" t="s">
        <v>205</v>
      </c>
      <c r="B190" s="2">
        <v>46169.48263888889</v>
      </c>
      <c r="C190" s="1" t="s">
        <v>19</v>
      </c>
      <c r="D190" s="3">
        <v>3230.77</v>
      </c>
      <c r="F190" s="1" t="s">
        <v>9</v>
      </c>
      <c r="G190" s="1" t="str">
        <f>TEXT(RideData[[#This Row],[timestamp]],"hh:mm")</f>
        <v>11:35</v>
      </c>
    </row>
    <row r="191" spans="1:7">
      <c r="A191" s="1" t="s">
        <v>206</v>
      </c>
      <c r="B191" s="2">
        <v>46169.48263888889</v>
      </c>
      <c r="C191" s="1" t="s">
        <v>8</v>
      </c>
      <c r="D191" s="3">
        <v>4685.32</v>
      </c>
      <c r="E191" s="3">
        <v>3.73</v>
      </c>
      <c r="F191" s="1" t="s">
        <v>9</v>
      </c>
      <c r="G191" s="1" t="str">
        <f>TEXT(RideData[[#This Row],[timestamp]],"hh:mm")</f>
        <v>11:35</v>
      </c>
    </row>
    <row r="192" spans="1:7">
      <c r="A192" s="1" t="s">
        <v>207</v>
      </c>
      <c r="B192" s="2">
        <v>46169.48263888889</v>
      </c>
      <c r="C192" s="1" t="s">
        <v>21</v>
      </c>
      <c r="D192" s="3">
        <v>0</v>
      </c>
      <c r="E192" s="3">
        <v>4.2</v>
      </c>
      <c r="F192" s="1" t="s">
        <v>15</v>
      </c>
      <c r="G192" s="1" t="str">
        <f>TEXT(RideData[[#This Row],[timestamp]],"hh:mm")</f>
        <v>11:35</v>
      </c>
    </row>
    <row r="193" spans="1:7">
      <c r="A193" s="1" t="s">
        <v>208</v>
      </c>
      <c r="B193" s="2">
        <v>46169.48263888889</v>
      </c>
      <c r="C193" s="1" t="s">
        <v>12</v>
      </c>
      <c r="D193" s="3">
        <v>2027.37</v>
      </c>
      <c r="E193" s="3">
        <v>5</v>
      </c>
      <c r="F193" s="1" t="s">
        <v>9</v>
      </c>
      <c r="G193" s="1" t="str">
        <f>TEXT(RideData[[#This Row],[timestamp]],"hh:mm")</f>
        <v>11:35</v>
      </c>
    </row>
    <row r="194" spans="1:7">
      <c r="A194" s="1" t="s">
        <v>209</v>
      </c>
      <c r="B194" s="2">
        <v>46169.48263888889</v>
      </c>
      <c r="C194" s="1" t="s">
        <v>8</v>
      </c>
      <c r="D194" s="3">
        <v>1810.29</v>
      </c>
      <c r="F194" s="1" t="s">
        <v>9</v>
      </c>
      <c r="G194" s="1" t="str">
        <f>TEXT(RideData[[#This Row],[timestamp]],"hh:mm")</f>
        <v>11:35</v>
      </c>
    </row>
    <row r="195" spans="1:7">
      <c r="A195" s="1" t="s">
        <v>210</v>
      </c>
      <c r="B195" s="2">
        <v>46169.48263888889</v>
      </c>
      <c r="C195" s="1" t="s">
        <v>12</v>
      </c>
      <c r="D195" s="3">
        <v>0</v>
      </c>
      <c r="F195" s="1" t="s">
        <v>15</v>
      </c>
      <c r="G195" s="1" t="str">
        <f>TEXT(RideData[[#This Row],[timestamp]],"hh:mm")</f>
        <v>11:35</v>
      </c>
    </row>
    <row r="196" spans="1:7">
      <c r="A196" s="1" t="s">
        <v>211</v>
      </c>
      <c r="B196" s="2">
        <v>46169.48263888889</v>
      </c>
      <c r="C196" s="1" t="s">
        <v>8</v>
      </c>
      <c r="D196" s="3">
        <v>0</v>
      </c>
      <c r="E196" s="3">
        <v>3.6</v>
      </c>
      <c r="F196" s="1" t="s">
        <v>15</v>
      </c>
      <c r="G196" s="1" t="str">
        <f>TEXT(RideData[[#This Row],[timestamp]],"hh:mm")</f>
        <v>11:35</v>
      </c>
    </row>
    <row r="197" spans="1:7">
      <c r="A197" s="1" t="s">
        <v>212</v>
      </c>
      <c r="B197" s="2">
        <v>46169.48263888889</v>
      </c>
      <c r="C197" s="1" t="s">
        <v>21</v>
      </c>
      <c r="D197" s="3">
        <v>1070.7</v>
      </c>
      <c r="E197" s="3">
        <v>4.23</v>
      </c>
      <c r="F197" s="1" t="s">
        <v>9</v>
      </c>
      <c r="G197" s="1" t="str">
        <f>TEXT(RideData[[#This Row],[timestamp]],"hh:mm")</f>
        <v>11:35</v>
      </c>
    </row>
    <row r="198" spans="1:7">
      <c r="A198" s="1" t="s">
        <v>213</v>
      </c>
      <c r="B198" s="2">
        <v>46169.48263888889</v>
      </c>
      <c r="C198" s="1" t="s">
        <v>8</v>
      </c>
      <c r="D198" s="3">
        <v>0</v>
      </c>
      <c r="E198" s="3">
        <v>3.51</v>
      </c>
      <c r="F198" s="1" t="s">
        <v>15</v>
      </c>
      <c r="G198" s="1" t="str">
        <f>TEXT(RideData[[#This Row],[timestamp]],"hh:mm")</f>
        <v>11:35</v>
      </c>
    </row>
    <row r="199" spans="1:7">
      <c r="A199" s="1" t="s">
        <v>214</v>
      </c>
      <c r="B199" s="2">
        <v>46169.48263888889</v>
      </c>
      <c r="C199" s="1" t="s">
        <v>12</v>
      </c>
      <c r="D199" s="3">
        <v>655.28</v>
      </c>
      <c r="F199" s="1" t="s">
        <v>9</v>
      </c>
      <c r="G199" s="1" t="str">
        <f>TEXT(RideData[[#This Row],[timestamp]],"hh:mm")</f>
        <v>11:35</v>
      </c>
    </row>
    <row r="200" spans="1:7">
      <c r="A200" s="1" t="s">
        <v>215</v>
      </c>
      <c r="B200" s="2">
        <v>46169.48263888889</v>
      </c>
      <c r="C200" s="1" t="s">
        <v>8</v>
      </c>
      <c r="D200" s="3">
        <v>0</v>
      </c>
      <c r="E200" s="3">
        <v>3.64</v>
      </c>
      <c r="F200" s="1" t="s">
        <v>15</v>
      </c>
      <c r="G200" s="1" t="str">
        <f>TEXT(RideData[[#This Row],[timestamp]],"hh:mm")</f>
        <v>11:35</v>
      </c>
    </row>
    <row r="201" spans="1:7">
      <c r="A201" s="1" t="s">
        <v>216</v>
      </c>
      <c r="B201" s="2">
        <v>46169.48263888889</v>
      </c>
      <c r="C201" s="1" t="s">
        <v>19</v>
      </c>
      <c r="D201" s="3">
        <v>3333.81</v>
      </c>
      <c r="F201" s="1" t="s">
        <v>9</v>
      </c>
      <c r="G201" s="1" t="str">
        <f>TEXT(RideData[[#This Row],[timestamp]],"hh:mm")</f>
        <v>11:35</v>
      </c>
    </row>
    <row r="202" spans="1:7">
      <c r="A202" s="1" t="s">
        <v>217</v>
      </c>
      <c r="B202" s="2">
        <v>46169.48263888889</v>
      </c>
      <c r="C202" s="1" t="s">
        <v>8</v>
      </c>
      <c r="D202" s="3">
        <v>0</v>
      </c>
      <c r="E202" s="3">
        <v>4.95</v>
      </c>
      <c r="F202" s="1" t="s">
        <v>17</v>
      </c>
      <c r="G202" s="1" t="str">
        <f>TEXT(RideData[[#This Row],[timestamp]],"hh:mm")</f>
        <v>11:35</v>
      </c>
    </row>
    <row r="203" spans="1:7">
      <c r="A203" s="1" t="s">
        <v>218</v>
      </c>
      <c r="B203" s="2">
        <v>46169.48263888889</v>
      </c>
      <c r="C203" s="1" t="s">
        <v>19</v>
      </c>
      <c r="D203" s="3">
        <v>1461.43</v>
      </c>
      <c r="F203" s="1" t="s">
        <v>9</v>
      </c>
      <c r="G203" s="1" t="str">
        <f>TEXT(RideData[[#This Row],[timestamp]],"hh:mm")</f>
        <v>11:35</v>
      </c>
    </row>
    <row r="204" spans="1:7">
      <c r="A204" s="1" t="s">
        <v>219</v>
      </c>
      <c r="B204" s="2">
        <v>46169.48263888889</v>
      </c>
      <c r="C204" s="1" t="s">
        <v>19</v>
      </c>
      <c r="D204" s="3">
        <v>0</v>
      </c>
      <c r="E204" s="3">
        <v>4.21</v>
      </c>
      <c r="F204" s="1" t="s">
        <v>15</v>
      </c>
      <c r="G204" s="1" t="str">
        <f>TEXT(RideData[[#This Row],[timestamp]],"hh:mm")</f>
        <v>11:35</v>
      </c>
    </row>
    <row r="205" spans="1:7">
      <c r="A205" s="1" t="s">
        <v>220</v>
      </c>
      <c r="B205" s="2">
        <v>46169.48263888889</v>
      </c>
      <c r="C205" s="1" t="s">
        <v>12</v>
      </c>
      <c r="D205" s="3">
        <v>2031.01</v>
      </c>
      <c r="E205" s="3">
        <v>4.06</v>
      </c>
      <c r="F205" s="1" t="s">
        <v>9</v>
      </c>
      <c r="G205" s="1" t="str">
        <f>TEXT(RideData[[#This Row],[timestamp]],"hh:mm")</f>
        <v>11:35</v>
      </c>
    </row>
    <row r="206" spans="1:7">
      <c r="A206" s="1" t="s">
        <v>221</v>
      </c>
      <c r="B206" s="2">
        <v>46169.48263888889</v>
      </c>
      <c r="C206" s="1" t="s">
        <v>21</v>
      </c>
      <c r="D206" s="3">
        <v>1150.04</v>
      </c>
      <c r="E206" s="3">
        <v>3.3</v>
      </c>
      <c r="F206" s="1" t="s">
        <v>9</v>
      </c>
      <c r="G206" s="1" t="str">
        <f>TEXT(RideData[[#This Row],[timestamp]],"hh:mm")</f>
        <v>11:35</v>
      </c>
    </row>
    <row r="207" spans="1:7">
      <c r="A207" s="1" t="s">
        <v>222</v>
      </c>
      <c r="B207" s="2">
        <v>46169.48263888889</v>
      </c>
      <c r="C207" s="1" t="s">
        <v>19</v>
      </c>
      <c r="D207" s="3">
        <v>2057.18</v>
      </c>
      <c r="E207" s="3">
        <v>3.65</v>
      </c>
      <c r="F207" s="1" t="s">
        <v>9</v>
      </c>
      <c r="G207" s="1" t="str">
        <f>TEXT(RideData[[#This Row],[timestamp]],"hh:mm")</f>
        <v>11:35</v>
      </c>
    </row>
    <row r="208" spans="1:7">
      <c r="A208" s="1" t="s">
        <v>223</v>
      </c>
      <c r="B208" s="2">
        <v>46169.48263888889</v>
      </c>
      <c r="C208" s="1" t="s">
        <v>21</v>
      </c>
      <c r="D208" s="3">
        <v>2089.05</v>
      </c>
      <c r="E208" s="3">
        <v>3.92</v>
      </c>
      <c r="F208" s="1" t="s">
        <v>9</v>
      </c>
      <c r="G208" s="1" t="str">
        <f>TEXT(RideData[[#This Row],[timestamp]],"hh:mm")</f>
        <v>11:35</v>
      </c>
    </row>
    <row r="209" spans="1:7">
      <c r="A209" s="1" t="s">
        <v>224</v>
      </c>
      <c r="B209" s="2">
        <v>46169.48263888889</v>
      </c>
      <c r="C209" s="1" t="s">
        <v>8</v>
      </c>
      <c r="D209" s="3">
        <v>559.66</v>
      </c>
      <c r="E209" s="3">
        <v>3.47</v>
      </c>
      <c r="F209" s="1" t="s">
        <v>9</v>
      </c>
      <c r="G209" s="1" t="str">
        <f>TEXT(RideData[[#This Row],[timestamp]],"hh:mm")</f>
        <v>11:35</v>
      </c>
    </row>
    <row r="210" spans="1:7">
      <c r="A210" s="1" t="s">
        <v>225</v>
      </c>
      <c r="B210" s="2">
        <v>46169.48263888889</v>
      </c>
      <c r="C210" s="1" t="s">
        <v>21</v>
      </c>
      <c r="D210" s="3">
        <v>1379.01</v>
      </c>
      <c r="F210" s="1" t="s">
        <v>9</v>
      </c>
      <c r="G210" s="1" t="str">
        <f>TEXT(RideData[[#This Row],[timestamp]],"hh:mm")</f>
        <v>11:35</v>
      </c>
    </row>
    <row r="211" spans="1:7">
      <c r="A211" s="1" t="s">
        <v>226</v>
      </c>
      <c r="B211" s="2">
        <v>46169.48263888889</v>
      </c>
      <c r="C211" s="1" t="s">
        <v>21</v>
      </c>
      <c r="D211" s="3">
        <v>3147.89</v>
      </c>
      <c r="E211" s="3">
        <v>3.56</v>
      </c>
      <c r="F211" s="1" t="s">
        <v>9</v>
      </c>
      <c r="G211" s="1" t="str">
        <f>TEXT(RideData[[#This Row],[timestamp]],"hh:mm")</f>
        <v>11:35</v>
      </c>
    </row>
    <row r="212" spans="1:7">
      <c r="A212" s="1" t="s">
        <v>227</v>
      </c>
      <c r="B212" s="2">
        <v>46169.48263888889</v>
      </c>
      <c r="C212" s="1" t="s">
        <v>19</v>
      </c>
      <c r="D212" s="3">
        <v>1538.59</v>
      </c>
      <c r="E212" s="3">
        <v>5</v>
      </c>
      <c r="F212" s="1" t="s">
        <v>9</v>
      </c>
      <c r="G212" s="1" t="str">
        <f>TEXT(RideData[[#This Row],[timestamp]],"hh:mm")</f>
        <v>11:35</v>
      </c>
    </row>
    <row r="213" spans="1:7">
      <c r="A213" s="1" t="s">
        <v>228</v>
      </c>
      <c r="B213" s="2">
        <v>46169.48263888889</v>
      </c>
      <c r="C213" s="1" t="s">
        <v>12</v>
      </c>
      <c r="D213" s="3">
        <v>836.83</v>
      </c>
      <c r="E213" s="3">
        <v>3.21</v>
      </c>
      <c r="F213" s="1" t="s">
        <v>9</v>
      </c>
      <c r="G213" s="1" t="str">
        <f>TEXT(RideData[[#This Row],[timestamp]],"hh:mm")</f>
        <v>11:35</v>
      </c>
    </row>
    <row r="214" spans="1:7">
      <c r="A214" s="1" t="s">
        <v>229</v>
      </c>
      <c r="B214" s="2">
        <v>46169.48263888889</v>
      </c>
      <c r="C214" s="1" t="s">
        <v>8</v>
      </c>
      <c r="D214" s="3">
        <v>1170.62</v>
      </c>
      <c r="E214" s="3">
        <v>3.79</v>
      </c>
      <c r="F214" s="1" t="s">
        <v>9</v>
      </c>
      <c r="G214" s="1" t="str">
        <f>TEXT(RideData[[#This Row],[timestamp]],"hh:mm")</f>
        <v>11:35</v>
      </c>
    </row>
    <row r="215" spans="1:7">
      <c r="A215" s="1" t="s">
        <v>230</v>
      </c>
      <c r="B215" s="2">
        <v>46169.48263888889</v>
      </c>
      <c r="C215" s="1" t="s">
        <v>12</v>
      </c>
      <c r="D215" s="3">
        <v>0</v>
      </c>
      <c r="E215" s="3">
        <v>3.53</v>
      </c>
      <c r="F215" s="1" t="s">
        <v>15</v>
      </c>
      <c r="G215" s="1" t="str">
        <f>TEXT(RideData[[#This Row],[timestamp]],"hh:mm")</f>
        <v>11:35</v>
      </c>
    </row>
    <row r="216" spans="1:7">
      <c r="A216" s="1" t="s">
        <v>231</v>
      </c>
      <c r="B216" s="2">
        <v>46169.48263888889</v>
      </c>
      <c r="C216" s="1" t="s">
        <v>21</v>
      </c>
      <c r="D216" s="3">
        <v>894.6</v>
      </c>
      <c r="E216" s="3">
        <v>4.65</v>
      </c>
      <c r="F216" s="1" t="s">
        <v>9</v>
      </c>
      <c r="G216" s="1" t="str">
        <f>TEXT(RideData[[#This Row],[timestamp]],"hh:mm")</f>
        <v>11:35</v>
      </c>
    </row>
    <row r="217" spans="1:7">
      <c r="A217" s="1" t="s">
        <v>232</v>
      </c>
      <c r="B217" s="2">
        <v>46169.48263888889</v>
      </c>
      <c r="C217" s="1" t="s">
        <v>19</v>
      </c>
      <c r="D217" s="3">
        <v>840.0700000000001</v>
      </c>
      <c r="E217" s="3">
        <v>4.22</v>
      </c>
      <c r="F217" s="1" t="s">
        <v>9</v>
      </c>
      <c r="G217" s="1" t="str">
        <f>TEXT(RideData[[#This Row],[timestamp]],"hh:mm")</f>
        <v>11:35</v>
      </c>
    </row>
    <row r="218" spans="1:7">
      <c r="A218" s="1" t="s">
        <v>233</v>
      </c>
      <c r="B218" s="2">
        <v>46169.48263888889</v>
      </c>
      <c r="C218" s="1" t="s">
        <v>8</v>
      </c>
      <c r="D218" s="3">
        <v>0</v>
      </c>
      <c r="E218" s="3">
        <v>4.34</v>
      </c>
      <c r="F218" s="1" t="s">
        <v>15</v>
      </c>
      <c r="G218" s="1" t="str">
        <f>TEXT(RideData[[#This Row],[timestamp]],"hh:mm")</f>
        <v>11:35</v>
      </c>
    </row>
    <row r="219" spans="1:7">
      <c r="A219" s="1" t="s">
        <v>234</v>
      </c>
      <c r="B219" s="2">
        <v>46169.48263888889</v>
      </c>
      <c r="C219" s="1" t="s">
        <v>12</v>
      </c>
      <c r="D219" s="3">
        <v>0</v>
      </c>
      <c r="E219" s="3">
        <v>4.03</v>
      </c>
      <c r="F219" s="1" t="s">
        <v>15</v>
      </c>
      <c r="G219" s="1" t="str">
        <f>TEXT(RideData[[#This Row],[timestamp]],"hh:mm")</f>
        <v>11:35</v>
      </c>
    </row>
    <row r="220" spans="1:7">
      <c r="A220" s="1" t="s">
        <v>235</v>
      </c>
      <c r="B220" s="2">
        <v>46169.48263888889</v>
      </c>
      <c r="C220" s="1" t="s">
        <v>19</v>
      </c>
      <c r="D220" s="3">
        <v>1487.7</v>
      </c>
      <c r="E220" s="3">
        <v>3.89</v>
      </c>
      <c r="F220" s="1" t="s">
        <v>9</v>
      </c>
      <c r="G220" s="1" t="str">
        <f>TEXT(RideData[[#This Row],[timestamp]],"hh:mm")</f>
        <v>11:35</v>
      </c>
    </row>
    <row r="221" spans="1:7">
      <c r="A221" s="1" t="s">
        <v>236</v>
      </c>
      <c r="B221" s="2">
        <v>46169.48263888889</v>
      </c>
      <c r="C221" s="1" t="s">
        <v>12</v>
      </c>
      <c r="D221" s="3">
        <v>0</v>
      </c>
      <c r="E221" s="3">
        <v>3.24</v>
      </c>
      <c r="F221" s="1" t="s">
        <v>15</v>
      </c>
      <c r="G221" s="1" t="str">
        <f>TEXT(RideData[[#This Row],[timestamp]],"hh:mm")</f>
        <v>11:35</v>
      </c>
    </row>
    <row r="222" spans="1:7">
      <c r="A222" s="1" t="s">
        <v>237</v>
      </c>
      <c r="B222" s="2">
        <v>46169.48263888889</v>
      </c>
      <c r="C222" s="1" t="s">
        <v>12</v>
      </c>
      <c r="D222" s="3">
        <v>1046.17</v>
      </c>
      <c r="E222" s="3">
        <v>4.76</v>
      </c>
      <c r="F222" s="1" t="s">
        <v>9</v>
      </c>
      <c r="G222" s="1" t="str">
        <f>TEXT(RideData[[#This Row],[timestamp]],"hh:mm")</f>
        <v>11:35</v>
      </c>
    </row>
    <row r="223" spans="1:7">
      <c r="A223" s="1" t="s">
        <v>238</v>
      </c>
      <c r="B223" s="2">
        <v>46169.48263888889</v>
      </c>
      <c r="C223" s="1" t="s">
        <v>19</v>
      </c>
      <c r="D223" s="3">
        <v>1738.56</v>
      </c>
      <c r="E223" s="3">
        <v>3.57</v>
      </c>
      <c r="F223" s="1" t="s">
        <v>9</v>
      </c>
      <c r="G223" s="1" t="str">
        <f>TEXT(RideData[[#This Row],[timestamp]],"hh:mm")</f>
        <v>11:35</v>
      </c>
    </row>
    <row r="224" spans="1:7">
      <c r="A224" s="1" t="s">
        <v>239</v>
      </c>
      <c r="B224" s="2">
        <v>46169.48263888889</v>
      </c>
      <c r="C224" s="1" t="s">
        <v>8</v>
      </c>
      <c r="D224" s="3">
        <v>0</v>
      </c>
      <c r="E224" s="3">
        <v>4.26</v>
      </c>
      <c r="F224" s="1" t="s">
        <v>15</v>
      </c>
      <c r="G224" s="1" t="str">
        <f>TEXT(RideData[[#This Row],[timestamp]],"hh:mm")</f>
        <v>11:35</v>
      </c>
    </row>
    <row r="225" spans="1:7">
      <c r="A225" s="1" t="s">
        <v>240</v>
      </c>
      <c r="B225" s="2">
        <v>46169.48263888889</v>
      </c>
      <c r="C225" s="1" t="s">
        <v>8</v>
      </c>
      <c r="D225" s="3">
        <v>1114.76</v>
      </c>
      <c r="E225" s="3">
        <v>5</v>
      </c>
      <c r="F225" s="1" t="s">
        <v>9</v>
      </c>
      <c r="G225" s="1" t="str">
        <f>TEXT(RideData[[#This Row],[timestamp]],"hh:mm")</f>
        <v>11:35</v>
      </c>
    </row>
    <row r="226" spans="1:7">
      <c r="A226" s="1" t="s">
        <v>241</v>
      </c>
      <c r="B226" s="2">
        <v>46169.48263888889</v>
      </c>
      <c r="C226" s="1" t="s">
        <v>19</v>
      </c>
      <c r="D226" s="3">
        <v>1644.07</v>
      </c>
      <c r="E226" s="3">
        <v>4.26</v>
      </c>
      <c r="F226" s="1" t="s">
        <v>9</v>
      </c>
      <c r="G226" s="1" t="str">
        <f>TEXT(RideData[[#This Row],[timestamp]],"hh:mm")</f>
        <v>11:35</v>
      </c>
    </row>
    <row r="227" spans="1:7">
      <c r="A227" s="1" t="s">
        <v>242</v>
      </c>
      <c r="B227" s="2">
        <v>46169.48263888889</v>
      </c>
      <c r="C227" s="1" t="s">
        <v>8</v>
      </c>
      <c r="D227" s="3">
        <v>1300.52</v>
      </c>
      <c r="E227" s="3">
        <v>3.89</v>
      </c>
      <c r="F227" s="1" t="s">
        <v>9</v>
      </c>
      <c r="G227" s="1" t="str">
        <f>TEXT(RideData[[#This Row],[timestamp]],"hh:mm")</f>
        <v>11:35</v>
      </c>
    </row>
    <row r="228" spans="1:7">
      <c r="A228" s="1" t="s">
        <v>243</v>
      </c>
      <c r="B228" s="2">
        <v>46169.48263888889</v>
      </c>
      <c r="C228" s="1" t="s">
        <v>12</v>
      </c>
      <c r="D228" s="3">
        <v>843.63</v>
      </c>
      <c r="E228" s="3">
        <v>4.38</v>
      </c>
      <c r="F228" s="1" t="s">
        <v>9</v>
      </c>
      <c r="G228" s="1" t="str">
        <f>TEXT(RideData[[#This Row],[timestamp]],"hh:mm")</f>
        <v>11:35</v>
      </c>
    </row>
    <row r="229" spans="1:7">
      <c r="A229" s="1" t="s">
        <v>244</v>
      </c>
      <c r="B229" s="2">
        <v>46169.48263888889</v>
      </c>
      <c r="C229" s="1" t="s">
        <v>8</v>
      </c>
      <c r="D229" s="3">
        <v>1006.17</v>
      </c>
      <c r="E229" s="3">
        <v>3.27</v>
      </c>
      <c r="F229" s="1" t="s">
        <v>9</v>
      </c>
      <c r="G229" s="1" t="str">
        <f>TEXT(RideData[[#This Row],[timestamp]],"hh:mm")</f>
        <v>11:35</v>
      </c>
    </row>
    <row r="230" spans="1:7">
      <c r="A230" s="1" t="s">
        <v>245</v>
      </c>
      <c r="B230" s="2">
        <v>46169.48263888889</v>
      </c>
      <c r="C230" s="1" t="s">
        <v>12</v>
      </c>
      <c r="D230" s="3">
        <v>0</v>
      </c>
      <c r="E230" s="3">
        <v>3.74</v>
      </c>
      <c r="F230" s="1" t="s">
        <v>17</v>
      </c>
      <c r="G230" s="1" t="str">
        <f>TEXT(RideData[[#This Row],[timestamp]],"hh:mm")</f>
        <v>11:35</v>
      </c>
    </row>
    <row r="231" spans="1:7">
      <c r="A231" s="1" t="s">
        <v>246</v>
      </c>
      <c r="B231" s="2">
        <v>46169.48611111111</v>
      </c>
      <c r="C231" s="1" t="s">
        <v>12</v>
      </c>
      <c r="D231" s="3">
        <v>0</v>
      </c>
      <c r="E231" s="3">
        <v>3.63</v>
      </c>
      <c r="F231" s="1" t="s">
        <v>15</v>
      </c>
      <c r="G231" s="1" t="str">
        <f>TEXT(RideData[[#This Row],[timestamp]],"hh:mm")</f>
        <v>11:40</v>
      </c>
    </row>
    <row r="232" spans="1:7">
      <c r="A232" s="1" t="s">
        <v>248</v>
      </c>
      <c r="B232" s="2">
        <v>46169.48611111111</v>
      </c>
      <c r="C232" s="1" t="s">
        <v>19</v>
      </c>
      <c r="D232" s="3">
        <v>1063.65</v>
      </c>
      <c r="E232" s="3">
        <v>4.54</v>
      </c>
      <c r="F232" s="1" t="s">
        <v>9</v>
      </c>
      <c r="G232" s="1" t="str">
        <f>TEXT(RideData[[#This Row],[timestamp]],"hh:mm")</f>
        <v>11:40</v>
      </c>
    </row>
    <row r="233" spans="1:7">
      <c r="A233" s="1" t="s">
        <v>249</v>
      </c>
      <c r="B233" s="2">
        <v>46169.48611111111</v>
      </c>
      <c r="C233" s="1" t="s">
        <v>8</v>
      </c>
      <c r="D233" s="3">
        <v>1874.45</v>
      </c>
      <c r="F233" s="1" t="s">
        <v>9</v>
      </c>
      <c r="G233" s="1" t="str">
        <f>TEXT(RideData[[#This Row],[timestamp]],"hh:mm")</f>
        <v>11:40</v>
      </c>
    </row>
    <row r="234" spans="1:7">
      <c r="A234" s="1" t="s">
        <v>250</v>
      </c>
      <c r="B234" s="2">
        <v>46169.48611111111</v>
      </c>
      <c r="C234" s="1" t="s">
        <v>21</v>
      </c>
      <c r="D234" s="3">
        <v>2827.08</v>
      </c>
      <c r="E234" s="3">
        <v>3.68</v>
      </c>
      <c r="F234" s="1" t="s">
        <v>9</v>
      </c>
      <c r="G234" s="1" t="str">
        <f>TEXT(RideData[[#This Row],[timestamp]],"hh:mm")</f>
        <v>11:40</v>
      </c>
    </row>
    <row r="235" spans="1:7">
      <c r="A235" s="1" t="s">
        <v>251</v>
      </c>
      <c r="B235" s="2">
        <v>46169.48611111111</v>
      </c>
      <c r="C235" s="1" t="s">
        <v>12</v>
      </c>
      <c r="D235" s="3">
        <v>0</v>
      </c>
      <c r="E235" s="3">
        <v>4.41</v>
      </c>
      <c r="F235" s="1" t="s">
        <v>15</v>
      </c>
      <c r="G235" s="1" t="str">
        <f>TEXT(RideData[[#This Row],[timestamp]],"hh:mm")</f>
        <v>11:40</v>
      </c>
    </row>
    <row r="236" spans="1:7">
      <c r="A236" s="1" t="s">
        <v>252</v>
      </c>
      <c r="B236" s="2">
        <v>46169.48611111111</v>
      </c>
      <c r="C236" s="1" t="s">
        <v>8</v>
      </c>
      <c r="D236" s="3">
        <v>973.2</v>
      </c>
      <c r="E236" s="3">
        <v>5</v>
      </c>
      <c r="F236" s="1" t="s">
        <v>9</v>
      </c>
      <c r="G236" s="1" t="str">
        <f>TEXT(RideData[[#This Row],[timestamp]],"hh:mm")</f>
        <v>11:40</v>
      </c>
    </row>
    <row r="237" spans="1:7">
      <c r="A237" s="1" t="s">
        <v>253</v>
      </c>
      <c r="B237" s="2">
        <v>46169.48611111111</v>
      </c>
      <c r="C237" s="1" t="s">
        <v>19</v>
      </c>
      <c r="D237" s="3">
        <v>0</v>
      </c>
      <c r="E237" s="3">
        <v>3.59</v>
      </c>
      <c r="F237" s="1" t="s">
        <v>15</v>
      </c>
      <c r="G237" s="1" t="str">
        <f>TEXT(RideData[[#This Row],[timestamp]],"hh:mm")</f>
        <v>11:40</v>
      </c>
    </row>
    <row r="238" spans="1:7">
      <c r="A238" s="1" t="s">
        <v>254</v>
      </c>
      <c r="B238" s="2">
        <v>46169.48611111111</v>
      </c>
      <c r="C238" s="1" t="s">
        <v>8</v>
      </c>
      <c r="D238" s="3">
        <v>1149.81</v>
      </c>
      <c r="E238" s="3">
        <v>4</v>
      </c>
      <c r="F238" s="1" t="s">
        <v>9</v>
      </c>
      <c r="G238" s="1" t="str">
        <f>TEXT(RideData[[#This Row],[timestamp]],"hh:mm")</f>
        <v>11:40</v>
      </c>
    </row>
    <row r="239" spans="1:7">
      <c r="A239" s="1" t="s">
        <v>255</v>
      </c>
      <c r="B239" s="2">
        <v>46169.48611111111</v>
      </c>
      <c r="C239" s="1" t="s">
        <v>12</v>
      </c>
      <c r="D239" s="3">
        <v>0</v>
      </c>
      <c r="E239" s="3">
        <v>3.78</v>
      </c>
      <c r="F239" s="1" t="s">
        <v>15</v>
      </c>
      <c r="G239" s="1" t="str">
        <f>TEXT(RideData[[#This Row],[timestamp]],"hh:mm")</f>
        <v>11:40</v>
      </c>
    </row>
    <row r="240" spans="1:7">
      <c r="A240" s="1" t="s">
        <v>256</v>
      </c>
      <c r="B240" s="2">
        <v>46169.48611111111</v>
      </c>
      <c r="C240" s="1" t="s">
        <v>21</v>
      </c>
      <c r="D240" s="3">
        <v>994.9</v>
      </c>
      <c r="E240" s="3">
        <v>3.52</v>
      </c>
      <c r="F240" s="1" t="s">
        <v>9</v>
      </c>
      <c r="G240" s="1" t="str">
        <f>TEXT(RideData[[#This Row],[timestamp]],"hh:mm")</f>
        <v>11:40</v>
      </c>
    </row>
    <row r="241" spans="1:7">
      <c r="A241" s="1" t="s">
        <v>257</v>
      </c>
      <c r="B241" s="2">
        <v>46169.48611111111</v>
      </c>
      <c r="C241" s="1" t="s">
        <v>21</v>
      </c>
      <c r="D241" s="3">
        <v>0</v>
      </c>
      <c r="E241" s="3">
        <v>3.73</v>
      </c>
      <c r="F241" s="1" t="s">
        <v>15</v>
      </c>
      <c r="G241" s="1" t="str">
        <f>TEXT(RideData[[#This Row],[timestamp]],"hh:mm")</f>
        <v>11:40</v>
      </c>
    </row>
    <row r="242" spans="1:7">
      <c r="A242" s="1" t="s">
        <v>258</v>
      </c>
      <c r="B242" s="2">
        <v>46169.48611111111</v>
      </c>
      <c r="C242" s="1" t="s">
        <v>19</v>
      </c>
      <c r="D242" s="3">
        <v>859.39</v>
      </c>
      <c r="E242" s="3">
        <v>3.73</v>
      </c>
      <c r="F242" s="1" t="s">
        <v>9</v>
      </c>
      <c r="G242" s="1" t="str">
        <f>TEXT(RideData[[#This Row],[timestamp]],"hh:mm")</f>
        <v>11:40</v>
      </c>
    </row>
    <row r="243" spans="1:7">
      <c r="A243" s="1" t="s">
        <v>259</v>
      </c>
      <c r="B243" s="2">
        <v>46169.48611111111</v>
      </c>
      <c r="C243" s="1" t="s">
        <v>21</v>
      </c>
      <c r="D243" s="3">
        <v>909.8</v>
      </c>
      <c r="E243" s="3">
        <v>4.02</v>
      </c>
      <c r="F243" s="1" t="s">
        <v>9</v>
      </c>
      <c r="G243" s="1" t="str">
        <f>TEXT(RideData[[#This Row],[timestamp]],"hh:mm")</f>
        <v>11:40</v>
      </c>
    </row>
    <row r="244" spans="1:7">
      <c r="A244" s="1" t="s">
        <v>260</v>
      </c>
      <c r="B244" s="2">
        <v>46169.48611111111</v>
      </c>
      <c r="C244" s="1" t="s">
        <v>19</v>
      </c>
      <c r="D244" s="3">
        <v>1811.17</v>
      </c>
      <c r="E244" s="3">
        <v>4.57</v>
      </c>
      <c r="F244" s="1" t="s">
        <v>9</v>
      </c>
      <c r="G244" s="1" t="str">
        <f>TEXT(RideData[[#This Row],[timestamp]],"hh:mm")</f>
        <v>11:40</v>
      </c>
    </row>
    <row r="245" spans="1:7">
      <c r="A245" s="1" t="s">
        <v>261</v>
      </c>
      <c r="B245" s="2">
        <v>46169.48611111111</v>
      </c>
      <c r="C245" s="1" t="s">
        <v>12</v>
      </c>
      <c r="D245" s="3">
        <v>2298.18</v>
      </c>
      <c r="E245" s="3">
        <v>4.78</v>
      </c>
      <c r="F245" s="1" t="s">
        <v>9</v>
      </c>
      <c r="G245" s="1" t="str">
        <f>TEXT(RideData[[#This Row],[timestamp]],"hh:mm")</f>
        <v>11:40</v>
      </c>
    </row>
    <row r="246" spans="1:7">
      <c r="A246" s="1" t="s">
        <v>262</v>
      </c>
      <c r="B246" s="2">
        <v>46169.48611111111</v>
      </c>
      <c r="C246" s="1" t="s">
        <v>12</v>
      </c>
      <c r="D246" s="3">
        <v>0</v>
      </c>
      <c r="E246" s="3">
        <v>2.98</v>
      </c>
      <c r="F246" s="1" t="s">
        <v>15</v>
      </c>
      <c r="G246" s="1" t="str">
        <f>TEXT(RideData[[#This Row],[timestamp]],"hh:mm")</f>
        <v>11:40</v>
      </c>
    </row>
    <row r="247" spans="1:7">
      <c r="A247" s="1" t="s">
        <v>263</v>
      </c>
      <c r="B247" s="2">
        <v>46169.48611111111</v>
      </c>
      <c r="C247" s="1" t="s">
        <v>21</v>
      </c>
      <c r="D247" s="3">
        <v>2027.86</v>
      </c>
      <c r="F247" s="1" t="s">
        <v>9</v>
      </c>
      <c r="G247" s="1" t="str">
        <f>TEXT(RideData[[#This Row],[timestamp]],"hh:mm")</f>
        <v>11:40</v>
      </c>
    </row>
    <row r="248" spans="1:7">
      <c r="A248" s="1" t="s">
        <v>264</v>
      </c>
      <c r="B248" s="2">
        <v>46169.48611111111</v>
      </c>
      <c r="C248" s="1" t="s">
        <v>21</v>
      </c>
      <c r="D248" s="3">
        <v>814.67</v>
      </c>
      <c r="E248" s="3">
        <v>2.93</v>
      </c>
      <c r="F248" s="1" t="s">
        <v>9</v>
      </c>
      <c r="G248" s="1" t="str">
        <f>TEXT(RideData[[#This Row],[timestamp]],"hh:mm")</f>
        <v>11:40</v>
      </c>
    </row>
    <row r="249" spans="1:7">
      <c r="A249" s="1" t="s">
        <v>265</v>
      </c>
      <c r="B249" s="2">
        <v>46169.48611111111</v>
      </c>
      <c r="C249" s="1" t="s">
        <v>21</v>
      </c>
      <c r="D249" s="3">
        <v>2104.09</v>
      </c>
      <c r="E249" s="3">
        <v>3.52</v>
      </c>
      <c r="F249" s="1" t="s">
        <v>9</v>
      </c>
      <c r="G249" s="1" t="str">
        <f>TEXT(RideData[[#This Row],[timestamp]],"hh:mm")</f>
        <v>11:40</v>
      </c>
    </row>
    <row r="250" spans="1:7">
      <c r="A250" s="1" t="s">
        <v>266</v>
      </c>
      <c r="B250" s="2">
        <v>46169.48611111111</v>
      </c>
      <c r="C250" s="1" t="s">
        <v>12</v>
      </c>
      <c r="D250" s="3">
        <v>0</v>
      </c>
      <c r="E250" s="3">
        <v>4.18</v>
      </c>
      <c r="F250" s="1" t="s">
        <v>15</v>
      </c>
      <c r="G250" s="1" t="str">
        <f>TEXT(RideData[[#This Row],[timestamp]],"hh:mm")</f>
        <v>11:40</v>
      </c>
    </row>
    <row r="251" spans="1:7">
      <c r="A251" s="1" t="s">
        <v>267</v>
      </c>
      <c r="B251" s="2">
        <v>46169.48611111111</v>
      </c>
      <c r="C251" s="1" t="s">
        <v>21</v>
      </c>
      <c r="D251" s="3">
        <v>1121.69</v>
      </c>
      <c r="E251" s="3">
        <v>4.96</v>
      </c>
      <c r="F251" s="1" t="s">
        <v>9</v>
      </c>
      <c r="G251" s="1" t="str">
        <f>TEXT(RideData[[#This Row],[timestamp]],"hh:mm")</f>
        <v>11:40</v>
      </c>
    </row>
    <row r="252" spans="1:7">
      <c r="A252" s="1" t="s">
        <v>268</v>
      </c>
      <c r="B252" s="2">
        <v>46169.48611111111</v>
      </c>
      <c r="C252" s="1" t="s">
        <v>8</v>
      </c>
      <c r="D252" s="3">
        <v>808.95</v>
      </c>
      <c r="E252" s="3">
        <v>4.97</v>
      </c>
      <c r="F252" s="1" t="s">
        <v>9</v>
      </c>
      <c r="G252" s="1" t="str">
        <f>TEXT(RideData[[#This Row],[timestamp]],"hh:mm")</f>
        <v>11:40</v>
      </c>
    </row>
    <row r="253" spans="1:7">
      <c r="A253" s="1" t="s">
        <v>269</v>
      </c>
      <c r="B253" s="2">
        <v>46169.48611111111</v>
      </c>
      <c r="C253" s="1" t="s">
        <v>8</v>
      </c>
      <c r="D253" s="3">
        <v>0</v>
      </c>
      <c r="E253" s="3">
        <v>4.06</v>
      </c>
      <c r="F253" s="1" t="s">
        <v>15</v>
      </c>
      <c r="G253" s="1" t="str">
        <f>TEXT(RideData[[#This Row],[timestamp]],"hh:mm")</f>
        <v>11:40</v>
      </c>
    </row>
    <row r="254" spans="1:7">
      <c r="A254" s="1" t="s">
        <v>270</v>
      </c>
      <c r="B254" s="2">
        <v>46169.48611111111</v>
      </c>
      <c r="C254" s="1" t="s">
        <v>8</v>
      </c>
      <c r="D254" s="3">
        <v>816.78</v>
      </c>
      <c r="E254" s="3">
        <v>4.87</v>
      </c>
      <c r="F254" s="1" t="s">
        <v>9</v>
      </c>
      <c r="G254" s="1" t="str">
        <f>TEXT(RideData[[#This Row],[timestamp]],"hh:mm")</f>
        <v>11:40</v>
      </c>
    </row>
    <row r="255" spans="1:7">
      <c r="A255" s="1" t="s">
        <v>271</v>
      </c>
      <c r="B255" s="2">
        <v>46169.48611111111</v>
      </c>
      <c r="C255" s="1" t="s">
        <v>8</v>
      </c>
      <c r="D255" s="3">
        <v>0</v>
      </c>
      <c r="E255" s="3">
        <v>4.95</v>
      </c>
      <c r="F255" s="1" t="s">
        <v>15</v>
      </c>
      <c r="G255" s="1" t="str">
        <f>TEXT(RideData[[#This Row],[timestamp]],"hh:mm")</f>
        <v>11:40</v>
      </c>
    </row>
    <row r="256" spans="1:7">
      <c r="A256" s="1" t="s">
        <v>272</v>
      </c>
      <c r="B256" s="2">
        <v>46169.48611111111</v>
      </c>
      <c r="C256" s="1" t="s">
        <v>21</v>
      </c>
      <c r="D256" s="3">
        <v>0</v>
      </c>
      <c r="E256" s="3">
        <v>3.64</v>
      </c>
      <c r="F256" s="1" t="s">
        <v>17</v>
      </c>
      <c r="G256" s="1" t="str">
        <f>TEXT(RideData[[#This Row],[timestamp]],"hh:mm")</f>
        <v>11:40</v>
      </c>
    </row>
    <row r="257" spans="1:7">
      <c r="A257" s="1" t="s">
        <v>273</v>
      </c>
      <c r="B257" s="2">
        <v>46169.48611111111</v>
      </c>
      <c r="C257" s="1" t="s">
        <v>12</v>
      </c>
      <c r="D257" s="3">
        <v>832</v>
      </c>
      <c r="E257" s="3">
        <v>3.57</v>
      </c>
      <c r="F257" s="1" t="s">
        <v>9</v>
      </c>
      <c r="G257" s="1" t="str">
        <f>TEXT(RideData[[#This Row],[timestamp]],"hh:mm")</f>
        <v>11:40</v>
      </c>
    </row>
    <row r="258" spans="1:7">
      <c r="A258" s="1" t="s">
        <v>274</v>
      </c>
      <c r="B258" s="2">
        <v>46169.48611111111</v>
      </c>
      <c r="C258" s="1" t="s">
        <v>8</v>
      </c>
      <c r="D258" s="3">
        <v>2141.34</v>
      </c>
      <c r="E258" s="3">
        <v>4.28</v>
      </c>
      <c r="F258" s="1" t="s">
        <v>9</v>
      </c>
      <c r="G258" s="1" t="str">
        <f>TEXT(RideData[[#This Row],[timestamp]],"hh:mm")</f>
        <v>11:40</v>
      </c>
    </row>
    <row r="259" spans="1:7">
      <c r="A259" s="1" t="s">
        <v>275</v>
      </c>
      <c r="B259" s="2">
        <v>46169.48611111111</v>
      </c>
      <c r="C259" s="1" t="s">
        <v>12</v>
      </c>
      <c r="D259" s="3">
        <v>2207.44</v>
      </c>
      <c r="E259" s="3">
        <v>4.15</v>
      </c>
      <c r="F259" s="1" t="s">
        <v>9</v>
      </c>
      <c r="G259" s="1" t="str">
        <f>TEXT(RideData[[#This Row],[timestamp]],"hh:mm")</f>
        <v>11:40</v>
      </c>
    </row>
    <row r="260" spans="1:7">
      <c r="A260" s="1" t="s">
        <v>276</v>
      </c>
      <c r="B260" s="2">
        <v>46169.48611111111</v>
      </c>
      <c r="C260" s="1" t="s">
        <v>12</v>
      </c>
      <c r="D260" s="3">
        <v>1639.8</v>
      </c>
      <c r="E260" s="3">
        <v>4.11</v>
      </c>
      <c r="F260" s="1" t="s">
        <v>9</v>
      </c>
      <c r="G260" s="1" t="str">
        <f>TEXT(RideData[[#This Row],[timestamp]],"hh:mm")</f>
        <v>11:40</v>
      </c>
    </row>
    <row r="261" spans="1:7">
      <c r="A261" s="1" t="s">
        <v>277</v>
      </c>
      <c r="B261" s="2">
        <v>46169.48611111111</v>
      </c>
      <c r="C261" s="1" t="s">
        <v>12</v>
      </c>
      <c r="D261" s="3">
        <v>0</v>
      </c>
      <c r="E261" s="3">
        <v>3.98</v>
      </c>
      <c r="F261" s="1" t="s">
        <v>17</v>
      </c>
      <c r="G261" s="1" t="str">
        <f>TEXT(RideData[[#This Row],[timestamp]],"hh:mm")</f>
        <v>11:40</v>
      </c>
    </row>
    <row r="262" spans="1:7">
      <c r="A262" s="1" t="s">
        <v>278</v>
      </c>
      <c r="B262" s="2">
        <v>46169.48611111111</v>
      </c>
      <c r="C262" s="1" t="s">
        <v>12</v>
      </c>
      <c r="D262" s="3">
        <v>1272.29</v>
      </c>
      <c r="E262" s="3">
        <v>3.52</v>
      </c>
      <c r="F262" s="1" t="s">
        <v>9</v>
      </c>
      <c r="G262" s="1" t="str">
        <f>TEXT(RideData[[#This Row],[timestamp]],"hh:mm")</f>
        <v>11:40</v>
      </c>
    </row>
    <row r="263" spans="1:7">
      <c r="A263" s="1" t="s">
        <v>279</v>
      </c>
      <c r="B263" s="2">
        <v>46169.48611111111</v>
      </c>
      <c r="C263" s="1" t="s">
        <v>8</v>
      </c>
      <c r="D263" s="3">
        <v>1663.82</v>
      </c>
      <c r="E263" s="3">
        <v>4.95</v>
      </c>
      <c r="F263" s="1" t="s">
        <v>9</v>
      </c>
      <c r="G263" s="1" t="str">
        <f>TEXT(RideData[[#This Row],[timestamp]],"hh:mm")</f>
        <v>11:40</v>
      </c>
    </row>
    <row r="264" spans="1:7">
      <c r="A264" s="1" t="s">
        <v>280</v>
      </c>
      <c r="B264" s="2">
        <v>46169.48611111111</v>
      </c>
      <c r="C264" s="1" t="s">
        <v>19</v>
      </c>
      <c r="D264" s="3">
        <v>0</v>
      </c>
      <c r="E264" s="3">
        <v>3.58</v>
      </c>
      <c r="F264" s="1" t="s">
        <v>17</v>
      </c>
      <c r="G264" s="1" t="str">
        <f>TEXT(RideData[[#This Row],[timestamp]],"hh:mm")</f>
        <v>11:40</v>
      </c>
    </row>
    <row r="265" spans="1:7">
      <c r="A265" s="1" t="s">
        <v>281</v>
      </c>
      <c r="B265" s="2">
        <v>46169.48611111111</v>
      </c>
      <c r="C265" s="1" t="s">
        <v>21</v>
      </c>
      <c r="D265" s="3">
        <v>826.89</v>
      </c>
      <c r="E265" s="3">
        <v>3.5</v>
      </c>
      <c r="F265" s="1" t="s">
        <v>9</v>
      </c>
      <c r="G265" s="1" t="str">
        <f>TEXT(RideData[[#This Row],[timestamp]],"hh:mm")</f>
        <v>11:40</v>
      </c>
    </row>
    <row r="266" spans="1:7">
      <c r="A266" s="1" t="s">
        <v>282</v>
      </c>
      <c r="B266" s="2">
        <v>46169.48611111111</v>
      </c>
      <c r="C266" s="1" t="s">
        <v>21</v>
      </c>
      <c r="D266" s="3">
        <v>4157.68</v>
      </c>
      <c r="E266" s="3">
        <v>3.99</v>
      </c>
      <c r="F266" s="1" t="s">
        <v>9</v>
      </c>
      <c r="G266" s="1" t="str">
        <f>TEXT(RideData[[#This Row],[timestamp]],"hh:mm")</f>
        <v>11:40</v>
      </c>
    </row>
    <row r="267" spans="1:7">
      <c r="A267" s="1" t="s">
        <v>283</v>
      </c>
      <c r="B267" s="2">
        <v>46169.48611111111</v>
      </c>
      <c r="C267" s="1" t="s">
        <v>8</v>
      </c>
      <c r="D267" s="3">
        <v>2079.58</v>
      </c>
      <c r="E267" s="3">
        <v>4.44</v>
      </c>
      <c r="F267" s="1" t="s">
        <v>9</v>
      </c>
      <c r="G267" s="1" t="str">
        <f>TEXT(RideData[[#This Row],[timestamp]],"hh:mm")</f>
        <v>11:40</v>
      </c>
    </row>
    <row r="268" spans="1:7">
      <c r="A268" s="1" t="s">
        <v>284</v>
      </c>
      <c r="B268" s="2">
        <v>46169.48611111111</v>
      </c>
      <c r="C268" s="1" t="s">
        <v>12</v>
      </c>
      <c r="D268" s="3">
        <v>1143.18</v>
      </c>
      <c r="E268" s="3">
        <v>4.43</v>
      </c>
      <c r="F268" s="1" t="s">
        <v>9</v>
      </c>
      <c r="G268" s="1" t="str">
        <f>TEXT(RideData[[#This Row],[timestamp]],"hh:mm")</f>
        <v>11:40</v>
      </c>
    </row>
    <row r="269" spans="1:7">
      <c r="A269" s="1" t="s">
        <v>285</v>
      </c>
      <c r="B269" s="2">
        <v>46169.48611111111</v>
      </c>
      <c r="C269" s="1" t="s">
        <v>12</v>
      </c>
      <c r="D269" s="3">
        <v>0</v>
      </c>
      <c r="E269" s="3">
        <v>4.58</v>
      </c>
      <c r="F269" s="1" t="s">
        <v>15</v>
      </c>
      <c r="G269" s="1" t="str">
        <f>TEXT(RideData[[#This Row],[timestamp]],"hh:mm")</f>
        <v>11:40</v>
      </c>
    </row>
    <row r="270" spans="1:7">
      <c r="A270" s="1" t="s">
        <v>286</v>
      </c>
      <c r="B270" s="2">
        <v>46169.48611111111</v>
      </c>
      <c r="C270" s="1" t="s">
        <v>19</v>
      </c>
      <c r="D270" s="3">
        <v>1988.77</v>
      </c>
      <c r="F270" s="1" t="s">
        <v>9</v>
      </c>
      <c r="G270" s="1" t="str">
        <f>TEXT(RideData[[#This Row],[timestamp]],"hh:mm")</f>
        <v>11:40</v>
      </c>
    </row>
    <row r="271" spans="1:7">
      <c r="A271" s="1" t="s">
        <v>287</v>
      </c>
      <c r="B271" s="2">
        <v>46169.48611111111</v>
      </c>
      <c r="C271" s="1" t="s">
        <v>8</v>
      </c>
      <c r="D271" s="3">
        <v>744.6900000000001</v>
      </c>
      <c r="E271" s="3">
        <v>4.31</v>
      </c>
      <c r="F271" s="1" t="s">
        <v>9</v>
      </c>
      <c r="G271" s="1" t="str">
        <f>TEXT(RideData[[#This Row],[timestamp]],"hh:mm")</f>
        <v>11:40</v>
      </c>
    </row>
    <row r="272" spans="1:7">
      <c r="A272" s="1" t="s">
        <v>288</v>
      </c>
      <c r="B272" s="2">
        <v>46169.48611111111</v>
      </c>
      <c r="C272" s="1" t="s">
        <v>12</v>
      </c>
      <c r="D272" s="3">
        <v>1907.92</v>
      </c>
      <c r="F272" s="1" t="s">
        <v>9</v>
      </c>
      <c r="G272" s="1" t="str">
        <f>TEXT(RideData[[#This Row],[timestamp]],"hh:mm")</f>
        <v>11:40</v>
      </c>
    </row>
    <row r="273" spans="1:7">
      <c r="A273" s="1" t="s">
        <v>289</v>
      </c>
      <c r="B273" s="2">
        <v>46169.48611111111</v>
      </c>
      <c r="C273" s="1" t="s">
        <v>19</v>
      </c>
      <c r="D273" s="3">
        <v>502.34</v>
      </c>
      <c r="E273" s="3">
        <v>3.79</v>
      </c>
      <c r="F273" s="1" t="s">
        <v>9</v>
      </c>
      <c r="G273" s="1" t="str">
        <f>TEXT(RideData[[#This Row],[timestamp]],"hh:mm")</f>
        <v>11:40</v>
      </c>
    </row>
    <row r="274" spans="1:7">
      <c r="A274" s="1" t="s">
        <v>290</v>
      </c>
      <c r="B274" s="2">
        <v>46169.48611111111</v>
      </c>
      <c r="C274" s="1" t="s">
        <v>8</v>
      </c>
      <c r="D274" s="3">
        <v>0</v>
      </c>
      <c r="E274" s="3">
        <v>4.45</v>
      </c>
      <c r="F274" s="1" t="s">
        <v>17</v>
      </c>
      <c r="G274" s="1" t="str">
        <f>TEXT(RideData[[#This Row],[timestamp]],"hh:mm")</f>
        <v>11:40</v>
      </c>
    </row>
    <row r="275" spans="1:7">
      <c r="A275" s="1" t="s">
        <v>291</v>
      </c>
      <c r="B275" s="2">
        <v>46169.48611111111</v>
      </c>
      <c r="C275" s="1" t="s">
        <v>21</v>
      </c>
      <c r="D275" s="3">
        <v>2480.29</v>
      </c>
      <c r="E275" s="3">
        <v>3.86</v>
      </c>
      <c r="F275" s="1" t="s">
        <v>9</v>
      </c>
      <c r="G275" s="1" t="str">
        <f>TEXT(RideData[[#This Row],[timestamp]],"hh:mm")</f>
        <v>11:40</v>
      </c>
    </row>
    <row r="276" spans="1:7">
      <c r="A276" s="1" t="s">
        <v>292</v>
      </c>
      <c r="B276" s="2">
        <v>46169.48611111111</v>
      </c>
      <c r="C276" s="1" t="s">
        <v>21</v>
      </c>
      <c r="D276" s="3">
        <v>878.41</v>
      </c>
      <c r="F276" s="1" t="s">
        <v>9</v>
      </c>
      <c r="G276" s="1" t="str">
        <f>TEXT(RideData[[#This Row],[timestamp]],"hh:mm")</f>
        <v>11:40</v>
      </c>
    </row>
    <row r="277" spans="1:7">
      <c r="A277" s="1" t="s">
        <v>293</v>
      </c>
      <c r="B277" s="2">
        <v>46169.48611111111</v>
      </c>
      <c r="C277" s="1" t="s">
        <v>12</v>
      </c>
      <c r="D277" s="3">
        <v>0</v>
      </c>
      <c r="E277" s="3">
        <v>4.32</v>
      </c>
      <c r="F277" s="1" t="s">
        <v>15</v>
      </c>
      <c r="G277" s="1" t="str">
        <f>TEXT(RideData[[#This Row],[timestamp]],"hh:mm")</f>
        <v>11:40</v>
      </c>
    </row>
    <row r="278" spans="1:7">
      <c r="A278" s="1" t="s">
        <v>294</v>
      </c>
      <c r="B278" s="2">
        <v>46169.48611111111</v>
      </c>
      <c r="C278" s="1" t="s">
        <v>8</v>
      </c>
      <c r="D278" s="3">
        <v>1826.78</v>
      </c>
      <c r="E278" s="3">
        <v>3.51</v>
      </c>
      <c r="F278" s="1" t="s">
        <v>9</v>
      </c>
      <c r="G278" s="1" t="str">
        <f>TEXT(RideData[[#This Row],[timestamp]],"hh:mm")</f>
        <v>11:40</v>
      </c>
    </row>
    <row r="279" spans="1:7">
      <c r="A279" s="1" t="s">
        <v>295</v>
      </c>
      <c r="B279" s="2">
        <v>46169.48611111111</v>
      </c>
      <c r="C279" s="1" t="s">
        <v>21</v>
      </c>
      <c r="D279" s="3">
        <v>1560.68</v>
      </c>
      <c r="F279" s="1" t="s">
        <v>9</v>
      </c>
      <c r="G279" s="1" t="str">
        <f>TEXT(RideData[[#This Row],[timestamp]],"hh:mm")</f>
        <v>11:40</v>
      </c>
    </row>
    <row r="280" spans="1:7">
      <c r="A280" s="1" t="s">
        <v>296</v>
      </c>
      <c r="B280" s="2">
        <v>46169.48611111111</v>
      </c>
      <c r="C280" s="1" t="s">
        <v>19</v>
      </c>
      <c r="D280" s="3">
        <v>1391.64</v>
      </c>
      <c r="E280" s="3">
        <v>3.85</v>
      </c>
      <c r="F280" s="1" t="s">
        <v>9</v>
      </c>
      <c r="G280" s="1" t="str">
        <f>TEXT(RideData[[#This Row],[timestamp]],"hh:mm")</f>
        <v>11:40</v>
      </c>
    </row>
    <row r="281" spans="1:7">
      <c r="A281" s="1" t="s">
        <v>297</v>
      </c>
      <c r="B281" s="2">
        <v>46169.48611111111</v>
      </c>
      <c r="C281" s="1" t="s">
        <v>12</v>
      </c>
      <c r="D281" s="3">
        <v>2293.69</v>
      </c>
      <c r="E281" s="3">
        <v>3.18</v>
      </c>
      <c r="F281" s="1" t="s">
        <v>9</v>
      </c>
      <c r="G281" s="1" t="str">
        <f>TEXT(RideData[[#This Row],[timestamp]],"hh:mm")</f>
        <v>11:40</v>
      </c>
    </row>
    <row r="282" spans="1:7">
      <c r="A282" s="1" t="s">
        <v>298</v>
      </c>
      <c r="B282" s="2">
        <v>46169.48611111111</v>
      </c>
      <c r="C282" s="1" t="s">
        <v>21</v>
      </c>
      <c r="D282" s="3">
        <v>0</v>
      </c>
      <c r="E282" s="3">
        <v>3.26</v>
      </c>
      <c r="F282" s="1" t="s">
        <v>17</v>
      </c>
      <c r="G282" s="1" t="str">
        <f>TEXT(RideData[[#This Row],[timestamp]],"hh:mm")</f>
        <v>11:40</v>
      </c>
    </row>
    <row r="283" spans="1:7">
      <c r="A283" s="1" t="s">
        <v>299</v>
      </c>
      <c r="B283" s="2">
        <v>46169.48611111111</v>
      </c>
      <c r="C283" s="1" t="s">
        <v>19</v>
      </c>
      <c r="D283" s="3">
        <v>0</v>
      </c>
      <c r="E283" s="3">
        <v>3.66</v>
      </c>
      <c r="F283" s="1" t="s">
        <v>15</v>
      </c>
      <c r="G283" s="1" t="str">
        <f>TEXT(RideData[[#This Row],[timestamp]],"hh:mm")</f>
        <v>11:40</v>
      </c>
    </row>
    <row r="284" spans="1:7">
      <c r="A284" s="1" t="s">
        <v>300</v>
      </c>
      <c r="B284" s="2">
        <v>46169.48611111111</v>
      </c>
      <c r="C284" s="1" t="s">
        <v>21</v>
      </c>
      <c r="D284" s="3">
        <v>1495.44</v>
      </c>
      <c r="E284" s="3">
        <v>3.91</v>
      </c>
      <c r="F284" s="1" t="s">
        <v>9</v>
      </c>
      <c r="G284" s="1" t="str">
        <f>TEXT(RideData[[#This Row],[timestamp]],"hh:mm")</f>
        <v>11:40</v>
      </c>
    </row>
    <row r="285" spans="1:7">
      <c r="A285" s="1" t="s">
        <v>301</v>
      </c>
      <c r="B285" s="2">
        <v>46169.48611111111</v>
      </c>
      <c r="C285" s="1" t="s">
        <v>12</v>
      </c>
      <c r="D285" s="3">
        <v>782.75</v>
      </c>
      <c r="F285" s="1" t="s">
        <v>9</v>
      </c>
      <c r="G285" s="1" t="str">
        <f>TEXT(RideData[[#This Row],[timestamp]],"hh:mm")</f>
        <v>11:40</v>
      </c>
    </row>
    <row r="286" spans="1:7">
      <c r="A286" s="1" t="s">
        <v>302</v>
      </c>
      <c r="B286" s="2">
        <v>46169.48611111111</v>
      </c>
      <c r="C286" s="1" t="s">
        <v>8</v>
      </c>
      <c r="D286" s="3">
        <v>662.75</v>
      </c>
      <c r="E286" s="3">
        <v>4.12</v>
      </c>
      <c r="F286" s="1" t="s">
        <v>9</v>
      </c>
      <c r="G286" s="1" t="str">
        <f>TEXT(RideData[[#This Row],[timestamp]],"hh:mm")</f>
        <v>11:40</v>
      </c>
    </row>
    <row r="287" spans="1:7">
      <c r="A287" s="1" t="s">
        <v>303</v>
      </c>
      <c r="B287" s="2">
        <v>46169.48611111111</v>
      </c>
      <c r="C287" s="1" t="s">
        <v>21</v>
      </c>
      <c r="D287" s="3">
        <v>0</v>
      </c>
      <c r="E287" s="3">
        <v>4.47</v>
      </c>
      <c r="F287" s="1" t="s">
        <v>17</v>
      </c>
      <c r="G287" s="1" t="str">
        <f>TEXT(RideData[[#This Row],[timestamp]],"hh:mm")</f>
        <v>11:40</v>
      </c>
    </row>
    <row r="288" spans="1:7">
      <c r="A288" s="1" t="s">
        <v>304</v>
      </c>
      <c r="B288" s="2">
        <v>46169.48611111111</v>
      </c>
      <c r="C288" s="1" t="s">
        <v>19</v>
      </c>
      <c r="D288" s="3">
        <v>1891.35</v>
      </c>
      <c r="E288" s="3">
        <v>3.7</v>
      </c>
      <c r="F288" s="1" t="s">
        <v>9</v>
      </c>
      <c r="G288" s="1" t="str">
        <f>TEXT(RideData[[#This Row],[timestamp]],"hh:mm")</f>
        <v>11:40</v>
      </c>
    </row>
    <row r="289" spans="1:7">
      <c r="A289" s="1" t="s">
        <v>305</v>
      </c>
      <c r="B289" s="2">
        <v>46169.48611111111</v>
      </c>
      <c r="C289" s="1" t="s">
        <v>21</v>
      </c>
      <c r="D289" s="3">
        <v>911.86</v>
      </c>
      <c r="E289" s="3">
        <v>4.82</v>
      </c>
      <c r="F289" s="1" t="s">
        <v>9</v>
      </c>
      <c r="G289" s="1" t="str">
        <f>TEXT(RideData[[#This Row],[timestamp]],"hh:mm")</f>
        <v>11:40</v>
      </c>
    </row>
    <row r="290" spans="1:7">
      <c r="A290" s="1" t="s">
        <v>306</v>
      </c>
      <c r="B290" s="2">
        <v>46169.48611111111</v>
      </c>
      <c r="C290" s="1" t="s">
        <v>8</v>
      </c>
      <c r="D290" s="3">
        <v>0</v>
      </c>
      <c r="E290" s="3">
        <v>4.4</v>
      </c>
      <c r="F290" s="1" t="s">
        <v>15</v>
      </c>
      <c r="G290" s="1" t="str">
        <f>TEXT(RideData[[#This Row],[timestamp]],"hh:mm")</f>
        <v>11:40</v>
      </c>
    </row>
    <row r="291" spans="1:7">
      <c r="A291" s="1" t="s">
        <v>307</v>
      </c>
      <c r="B291" s="2">
        <v>46169.48611111111</v>
      </c>
      <c r="C291" s="1" t="s">
        <v>12</v>
      </c>
      <c r="D291" s="3">
        <v>863.8200000000001</v>
      </c>
      <c r="E291" s="3">
        <v>3.7</v>
      </c>
      <c r="F291" s="1" t="s">
        <v>9</v>
      </c>
      <c r="G291" s="1" t="str">
        <f>TEXT(RideData[[#This Row],[timestamp]],"hh:mm")</f>
        <v>11:40</v>
      </c>
    </row>
    <row r="292" spans="1:7">
      <c r="A292" s="1" t="s">
        <v>308</v>
      </c>
      <c r="B292" s="2">
        <v>46169.48611111111</v>
      </c>
      <c r="C292" s="1" t="s">
        <v>19</v>
      </c>
      <c r="D292" s="3">
        <v>0</v>
      </c>
      <c r="E292" s="3">
        <v>4.43</v>
      </c>
      <c r="F292" s="1" t="s">
        <v>15</v>
      </c>
      <c r="G292" s="1" t="str">
        <f>TEXT(RideData[[#This Row],[timestamp]],"hh:mm")</f>
        <v>11:40</v>
      </c>
    </row>
    <row r="293" spans="1:7">
      <c r="A293" s="1" t="s">
        <v>309</v>
      </c>
      <c r="B293" s="2">
        <v>46169.48611111111</v>
      </c>
      <c r="C293" s="1" t="s">
        <v>21</v>
      </c>
      <c r="D293" s="3">
        <v>0</v>
      </c>
      <c r="E293" s="3">
        <v>3.3</v>
      </c>
      <c r="F293" s="1" t="s">
        <v>15</v>
      </c>
      <c r="G293" s="1" t="str">
        <f>TEXT(RideData[[#This Row],[timestamp]],"hh:mm")</f>
        <v>11:40</v>
      </c>
    </row>
    <row r="294" spans="1:7">
      <c r="A294" s="1" t="s">
        <v>310</v>
      </c>
      <c r="B294" s="2">
        <v>46169.48611111111</v>
      </c>
      <c r="C294" s="1" t="s">
        <v>19</v>
      </c>
      <c r="D294" s="3">
        <v>0</v>
      </c>
      <c r="E294" s="3">
        <v>4.02</v>
      </c>
      <c r="F294" s="1" t="s">
        <v>17</v>
      </c>
      <c r="G294" s="1" t="str">
        <f>TEXT(RideData[[#This Row],[timestamp]],"hh:mm")</f>
        <v>11:40</v>
      </c>
    </row>
    <row r="295" spans="1:7">
      <c r="A295" s="1" t="s">
        <v>311</v>
      </c>
      <c r="B295" s="2">
        <v>46169.48958333334</v>
      </c>
      <c r="C295" s="1" t="s">
        <v>12</v>
      </c>
      <c r="D295" s="3">
        <v>1862.42</v>
      </c>
      <c r="E295" s="3">
        <v>3.97</v>
      </c>
      <c r="F295" s="1" t="s">
        <v>9</v>
      </c>
      <c r="G295" s="1" t="str">
        <f>TEXT(RideData[[#This Row],[timestamp]],"hh:mm")</f>
        <v>11:45</v>
      </c>
    </row>
    <row r="296" spans="1:7">
      <c r="A296" s="1" t="s">
        <v>313</v>
      </c>
      <c r="B296" s="2">
        <v>46169.48958333334</v>
      </c>
      <c r="C296" s="1" t="s">
        <v>12</v>
      </c>
      <c r="D296" s="3">
        <v>1149.48</v>
      </c>
      <c r="E296" s="3">
        <v>4.7</v>
      </c>
      <c r="F296" s="1" t="s">
        <v>9</v>
      </c>
      <c r="G296" s="1" t="str">
        <f>TEXT(RideData[[#This Row],[timestamp]],"hh:mm")</f>
        <v>11:45</v>
      </c>
    </row>
    <row r="297" spans="1:7">
      <c r="A297" s="1" t="s">
        <v>314</v>
      </c>
      <c r="B297" s="2">
        <v>46169.48958333334</v>
      </c>
      <c r="C297" s="1" t="s">
        <v>19</v>
      </c>
      <c r="D297" s="3">
        <v>983.75</v>
      </c>
      <c r="E297" s="3">
        <v>4.14</v>
      </c>
      <c r="F297" s="1" t="s">
        <v>9</v>
      </c>
      <c r="G297" s="1" t="str">
        <f>TEXT(RideData[[#This Row],[timestamp]],"hh:mm")</f>
        <v>11:45</v>
      </c>
    </row>
    <row r="298" spans="1:7">
      <c r="A298" s="1" t="s">
        <v>315</v>
      </c>
      <c r="B298" s="2">
        <v>46169.48958333334</v>
      </c>
      <c r="C298" s="1" t="s">
        <v>8</v>
      </c>
      <c r="D298" s="3">
        <v>958.27</v>
      </c>
      <c r="E298" s="3">
        <v>4.21</v>
      </c>
      <c r="F298" s="1" t="s">
        <v>9</v>
      </c>
      <c r="G298" s="1" t="str">
        <f>TEXT(RideData[[#This Row],[timestamp]],"hh:mm")</f>
        <v>11:45</v>
      </c>
    </row>
    <row r="299" spans="1:7">
      <c r="A299" s="1" t="s">
        <v>316</v>
      </c>
      <c r="B299" s="2">
        <v>46169.48958333334</v>
      </c>
      <c r="C299" s="1" t="s">
        <v>21</v>
      </c>
      <c r="D299" s="3">
        <v>1227.85</v>
      </c>
      <c r="E299" s="3">
        <v>2.86</v>
      </c>
      <c r="F299" s="1" t="s">
        <v>9</v>
      </c>
      <c r="G299" s="1" t="str">
        <f>TEXT(RideData[[#This Row],[timestamp]],"hh:mm")</f>
        <v>11:45</v>
      </c>
    </row>
    <row r="300" spans="1:7">
      <c r="A300" s="1" t="s">
        <v>317</v>
      </c>
      <c r="B300" s="2">
        <v>46169.48958333334</v>
      </c>
      <c r="C300" s="1" t="s">
        <v>19</v>
      </c>
      <c r="D300" s="3">
        <v>0</v>
      </c>
      <c r="E300" s="3">
        <v>4.49</v>
      </c>
      <c r="F300" s="1" t="s">
        <v>15</v>
      </c>
      <c r="G300" s="1" t="str">
        <f>TEXT(RideData[[#This Row],[timestamp]],"hh:mm")</f>
        <v>11:45</v>
      </c>
    </row>
    <row r="301" spans="1:7">
      <c r="A301" s="1" t="s">
        <v>318</v>
      </c>
      <c r="B301" s="2">
        <v>46169.48958333334</v>
      </c>
      <c r="C301" s="1" t="s">
        <v>21</v>
      </c>
      <c r="D301" s="3">
        <v>427.09</v>
      </c>
      <c r="F301" s="1" t="s">
        <v>9</v>
      </c>
      <c r="G301" s="1" t="str">
        <f>TEXT(RideData[[#This Row],[timestamp]],"hh:mm")</f>
        <v>11:45</v>
      </c>
    </row>
    <row r="302" spans="1:7">
      <c r="A302" s="1" t="s">
        <v>319</v>
      </c>
      <c r="B302" s="2">
        <v>46169.48958333334</v>
      </c>
      <c r="C302" s="1" t="s">
        <v>12</v>
      </c>
      <c r="D302" s="3">
        <v>0</v>
      </c>
      <c r="E302" s="3">
        <v>3.35</v>
      </c>
      <c r="F302" s="1" t="s">
        <v>15</v>
      </c>
      <c r="G302" s="1" t="str">
        <f>TEXT(RideData[[#This Row],[timestamp]],"hh:mm")</f>
        <v>11:45</v>
      </c>
    </row>
    <row r="303" spans="1:7">
      <c r="A303" s="1" t="s">
        <v>320</v>
      </c>
      <c r="B303" s="2">
        <v>46169.48958333334</v>
      </c>
      <c r="C303" s="1" t="s">
        <v>19</v>
      </c>
      <c r="D303" s="3">
        <v>1668.34</v>
      </c>
      <c r="E303" s="3">
        <v>4.45</v>
      </c>
      <c r="F303" s="1" t="s">
        <v>9</v>
      </c>
      <c r="G303" s="1" t="str">
        <f>TEXT(RideData[[#This Row],[timestamp]],"hh:mm")</f>
        <v>11:45</v>
      </c>
    </row>
    <row r="304" spans="1:7">
      <c r="A304" s="1" t="s">
        <v>321</v>
      </c>
      <c r="B304" s="2">
        <v>46169.48958333334</v>
      </c>
      <c r="C304" s="1" t="s">
        <v>19</v>
      </c>
      <c r="D304" s="3">
        <v>1580.48</v>
      </c>
      <c r="E304" s="3">
        <v>3.68</v>
      </c>
      <c r="F304" s="1" t="s">
        <v>9</v>
      </c>
      <c r="G304" s="1" t="str">
        <f>TEXT(RideData[[#This Row],[timestamp]],"hh:mm")</f>
        <v>11:45</v>
      </c>
    </row>
    <row r="305" spans="1:7">
      <c r="A305" s="1" t="s">
        <v>322</v>
      </c>
      <c r="B305" s="2">
        <v>46169.48958333334</v>
      </c>
      <c r="C305" s="1" t="s">
        <v>12</v>
      </c>
      <c r="D305" s="3">
        <v>0</v>
      </c>
      <c r="E305" s="3">
        <v>4.5</v>
      </c>
      <c r="F305" s="1" t="s">
        <v>15</v>
      </c>
      <c r="G305" s="1" t="str">
        <f>TEXT(RideData[[#This Row],[timestamp]],"hh:mm")</f>
        <v>11:45</v>
      </c>
    </row>
    <row r="306" spans="1:7">
      <c r="A306" s="1" t="s">
        <v>323</v>
      </c>
      <c r="B306" s="2">
        <v>46169.48958333334</v>
      </c>
      <c r="C306" s="1" t="s">
        <v>8</v>
      </c>
      <c r="D306" s="3">
        <v>0</v>
      </c>
      <c r="E306" s="3">
        <v>2.48</v>
      </c>
      <c r="F306" s="1" t="s">
        <v>15</v>
      </c>
      <c r="G306" s="1" t="str">
        <f>TEXT(RideData[[#This Row],[timestamp]],"hh:mm")</f>
        <v>11:45</v>
      </c>
    </row>
    <row r="307" spans="1:7">
      <c r="A307" s="1" t="s">
        <v>324</v>
      </c>
      <c r="B307" s="2">
        <v>46169.48958333334</v>
      </c>
      <c r="C307" s="1" t="s">
        <v>19</v>
      </c>
      <c r="D307" s="3">
        <v>1224.21</v>
      </c>
      <c r="E307" s="3">
        <v>3.94</v>
      </c>
      <c r="F307" s="1" t="s">
        <v>9</v>
      </c>
      <c r="G307" s="1" t="str">
        <f>TEXT(RideData[[#This Row],[timestamp]],"hh:mm")</f>
        <v>11:45</v>
      </c>
    </row>
    <row r="308" spans="1:7">
      <c r="A308" s="1" t="s">
        <v>325</v>
      </c>
      <c r="B308" s="2">
        <v>46169.48958333334</v>
      </c>
      <c r="C308" s="1" t="s">
        <v>21</v>
      </c>
      <c r="D308" s="3">
        <v>2624.67</v>
      </c>
      <c r="E308" s="3">
        <v>3.23</v>
      </c>
      <c r="F308" s="1" t="s">
        <v>9</v>
      </c>
      <c r="G308" s="1" t="str">
        <f>TEXT(RideData[[#This Row],[timestamp]],"hh:mm")</f>
        <v>11:45</v>
      </c>
    </row>
    <row r="309" spans="1:7">
      <c r="A309" s="1" t="s">
        <v>326</v>
      </c>
      <c r="B309" s="2">
        <v>46169.48958333334</v>
      </c>
      <c r="C309" s="1" t="s">
        <v>21</v>
      </c>
      <c r="D309" s="3">
        <v>1534.08</v>
      </c>
      <c r="E309" s="3">
        <v>3.83</v>
      </c>
      <c r="F309" s="1" t="s">
        <v>9</v>
      </c>
      <c r="G309" s="1" t="str">
        <f>TEXT(RideData[[#This Row],[timestamp]],"hh:mm")</f>
        <v>11:45</v>
      </c>
    </row>
    <row r="310" spans="1:7">
      <c r="A310" s="1" t="s">
        <v>327</v>
      </c>
      <c r="B310" s="2">
        <v>46169.48958333334</v>
      </c>
      <c r="C310" s="1" t="s">
        <v>8</v>
      </c>
      <c r="D310" s="3">
        <v>0</v>
      </c>
      <c r="E310" s="3">
        <v>2.75</v>
      </c>
      <c r="F310" s="1" t="s">
        <v>17</v>
      </c>
      <c r="G310" s="1" t="str">
        <f>TEXT(RideData[[#This Row],[timestamp]],"hh:mm")</f>
        <v>11:45</v>
      </c>
    </row>
    <row r="311" spans="1:7">
      <c r="A311" s="1" t="s">
        <v>328</v>
      </c>
      <c r="B311" s="2">
        <v>46169.48958333334</v>
      </c>
      <c r="C311" s="1" t="s">
        <v>8</v>
      </c>
      <c r="D311" s="3">
        <v>1118.67</v>
      </c>
      <c r="E311" s="3">
        <v>3.75</v>
      </c>
      <c r="F311" s="1" t="s">
        <v>9</v>
      </c>
      <c r="G311" s="1" t="str">
        <f>TEXT(RideData[[#This Row],[timestamp]],"hh:mm")</f>
        <v>11:45</v>
      </c>
    </row>
    <row r="312" spans="1:7">
      <c r="A312" s="1" t="s">
        <v>329</v>
      </c>
      <c r="B312" s="2">
        <v>46169.48958333334</v>
      </c>
      <c r="C312" s="1" t="s">
        <v>8</v>
      </c>
      <c r="D312" s="3">
        <v>1035.09</v>
      </c>
      <c r="E312" s="3">
        <v>3.83</v>
      </c>
      <c r="F312" s="1" t="s">
        <v>9</v>
      </c>
      <c r="G312" s="1" t="str">
        <f>TEXT(RideData[[#This Row],[timestamp]],"hh:mm")</f>
        <v>11:45</v>
      </c>
    </row>
    <row r="313" spans="1:7">
      <c r="A313" s="1" t="s">
        <v>330</v>
      </c>
      <c r="B313" s="2">
        <v>46169.48958333334</v>
      </c>
      <c r="C313" s="1" t="s">
        <v>8</v>
      </c>
      <c r="D313" s="3">
        <v>0</v>
      </c>
      <c r="F313" s="1" t="s">
        <v>15</v>
      </c>
      <c r="G313" s="1" t="str">
        <f>TEXT(RideData[[#This Row],[timestamp]],"hh:mm")</f>
        <v>11:45</v>
      </c>
    </row>
    <row r="314" spans="1:7">
      <c r="A314" s="1" t="s">
        <v>331</v>
      </c>
      <c r="B314" s="2">
        <v>46169.48958333334</v>
      </c>
      <c r="C314" s="1" t="s">
        <v>19</v>
      </c>
      <c r="D314" s="3">
        <v>0</v>
      </c>
      <c r="E314" s="3">
        <v>3.92</v>
      </c>
      <c r="F314" s="1" t="s">
        <v>17</v>
      </c>
      <c r="G314" s="1" t="str">
        <f>TEXT(RideData[[#This Row],[timestamp]],"hh:mm")</f>
        <v>11:45</v>
      </c>
    </row>
    <row r="315" spans="1:7">
      <c r="A315" s="1" t="s">
        <v>332</v>
      </c>
      <c r="B315" s="2">
        <v>46169.48958333334</v>
      </c>
      <c r="C315" s="1" t="s">
        <v>8</v>
      </c>
      <c r="D315" s="3">
        <v>651.72</v>
      </c>
      <c r="E315" s="3">
        <v>4.52</v>
      </c>
      <c r="F315" s="1" t="s">
        <v>9</v>
      </c>
      <c r="G315" s="1" t="str">
        <f>TEXT(RideData[[#This Row],[timestamp]],"hh:mm")</f>
        <v>11:45</v>
      </c>
    </row>
    <row r="316" spans="1:7">
      <c r="A316" s="1" t="s">
        <v>333</v>
      </c>
      <c r="B316" s="2">
        <v>46169.48958333334</v>
      </c>
      <c r="C316" s="1" t="s">
        <v>12</v>
      </c>
      <c r="D316" s="3">
        <v>0</v>
      </c>
      <c r="E316" s="3">
        <v>3.71</v>
      </c>
      <c r="F316" s="1" t="s">
        <v>15</v>
      </c>
      <c r="G316" s="1" t="str">
        <f>TEXT(RideData[[#This Row],[timestamp]],"hh:mm")</f>
        <v>11:45</v>
      </c>
    </row>
    <row r="317" spans="1:7">
      <c r="A317" s="1" t="s">
        <v>334</v>
      </c>
      <c r="B317" s="2">
        <v>46169.48958333334</v>
      </c>
      <c r="C317" s="1" t="s">
        <v>12</v>
      </c>
      <c r="D317" s="3">
        <v>542.79</v>
      </c>
      <c r="E317" s="3">
        <v>4.17</v>
      </c>
      <c r="F317" s="1" t="s">
        <v>9</v>
      </c>
      <c r="G317" s="1" t="str">
        <f>TEXT(RideData[[#This Row],[timestamp]],"hh:mm")</f>
        <v>11:45</v>
      </c>
    </row>
    <row r="318" spans="1:7">
      <c r="A318" s="1" t="s">
        <v>335</v>
      </c>
      <c r="B318" s="2">
        <v>46169.48958333334</v>
      </c>
      <c r="C318" s="1" t="s">
        <v>8</v>
      </c>
      <c r="D318" s="3">
        <v>1957.34</v>
      </c>
      <c r="E318" s="3">
        <v>4.02</v>
      </c>
      <c r="F318" s="1" t="s">
        <v>9</v>
      </c>
      <c r="G318" s="1" t="str">
        <f>TEXT(RideData[[#This Row],[timestamp]],"hh:mm")</f>
        <v>11:45</v>
      </c>
    </row>
    <row r="319" spans="1:7">
      <c r="A319" s="1" t="s">
        <v>336</v>
      </c>
      <c r="B319" s="2">
        <v>46169.48958333334</v>
      </c>
      <c r="C319" s="1" t="s">
        <v>21</v>
      </c>
      <c r="D319" s="3">
        <v>1249.82</v>
      </c>
      <c r="E319" s="3">
        <v>4.38</v>
      </c>
      <c r="F319" s="1" t="s">
        <v>9</v>
      </c>
      <c r="G319" s="1" t="str">
        <f>TEXT(RideData[[#This Row],[timestamp]],"hh:mm")</f>
        <v>11:45</v>
      </c>
    </row>
    <row r="320" spans="1:7">
      <c r="A320" s="1" t="s">
        <v>337</v>
      </c>
      <c r="B320" s="2">
        <v>46169.48958333334</v>
      </c>
      <c r="C320" s="1" t="s">
        <v>21</v>
      </c>
      <c r="D320" s="3">
        <v>3952.72</v>
      </c>
      <c r="E320" s="3">
        <v>3.45</v>
      </c>
      <c r="F320" s="1" t="s">
        <v>9</v>
      </c>
      <c r="G320" s="1" t="str">
        <f>TEXT(RideData[[#This Row],[timestamp]],"hh:mm")</f>
        <v>11:45</v>
      </c>
    </row>
    <row r="321" spans="1:7">
      <c r="A321" s="1" t="s">
        <v>338</v>
      </c>
      <c r="B321" s="2">
        <v>46169.48958333334</v>
      </c>
      <c r="C321" s="1" t="s">
        <v>12</v>
      </c>
      <c r="D321" s="3">
        <v>2202.07</v>
      </c>
      <c r="E321" s="3">
        <v>3.45</v>
      </c>
      <c r="F321" s="1" t="s">
        <v>9</v>
      </c>
      <c r="G321" s="1" t="str">
        <f>TEXT(RideData[[#This Row],[timestamp]],"hh:mm")</f>
        <v>11:45</v>
      </c>
    </row>
    <row r="322" spans="1:7">
      <c r="A322" s="1" t="s">
        <v>339</v>
      </c>
      <c r="B322" s="2">
        <v>46169.48958333334</v>
      </c>
      <c r="C322" s="1" t="s">
        <v>21</v>
      </c>
      <c r="D322" s="3">
        <v>1832.98</v>
      </c>
      <c r="E322" s="3">
        <v>3.86</v>
      </c>
      <c r="F322" s="1" t="s">
        <v>9</v>
      </c>
      <c r="G322" s="1" t="str">
        <f>TEXT(RideData[[#This Row],[timestamp]],"hh:mm")</f>
        <v>11:45</v>
      </c>
    </row>
    <row r="323" spans="1:7">
      <c r="A323" s="1" t="s">
        <v>340</v>
      </c>
      <c r="B323" s="2">
        <v>46169.48958333334</v>
      </c>
      <c r="C323" s="1" t="s">
        <v>12</v>
      </c>
      <c r="D323" s="3">
        <v>2229.95</v>
      </c>
      <c r="E323" s="3">
        <v>4.24</v>
      </c>
      <c r="F323" s="1" t="s">
        <v>9</v>
      </c>
      <c r="G323" s="1" t="str">
        <f>TEXT(RideData[[#This Row],[timestamp]],"hh:mm")</f>
        <v>11:45</v>
      </c>
    </row>
    <row r="324" spans="1:7">
      <c r="A324" s="1" t="s">
        <v>341</v>
      </c>
      <c r="B324" s="2">
        <v>46169.48958333334</v>
      </c>
      <c r="C324" s="1" t="s">
        <v>12</v>
      </c>
      <c r="D324" s="3">
        <v>2571.01</v>
      </c>
      <c r="E324" s="3">
        <v>3.81</v>
      </c>
      <c r="F324" s="1" t="s">
        <v>9</v>
      </c>
      <c r="G324" s="1" t="str">
        <f>TEXT(RideData[[#This Row],[timestamp]],"hh:mm")</f>
        <v>11:45</v>
      </c>
    </row>
    <row r="325" spans="1:7">
      <c r="A325" s="1" t="s">
        <v>342</v>
      </c>
      <c r="B325" s="2">
        <v>46169.48958333334</v>
      </c>
      <c r="C325" s="1" t="s">
        <v>12</v>
      </c>
      <c r="D325" s="3">
        <v>0</v>
      </c>
      <c r="E325" s="3">
        <v>2.31</v>
      </c>
      <c r="F325" s="1" t="s">
        <v>17</v>
      </c>
      <c r="G325" s="1" t="str">
        <f>TEXT(RideData[[#This Row],[timestamp]],"hh:mm")</f>
        <v>11:45</v>
      </c>
    </row>
    <row r="326" spans="1:7">
      <c r="A326" s="1" t="s">
        <v>343</v>
      </c>
      <c r="B326" s="2">
        <v>46169.48958333334</v>
      </c>
      <c r="C326" s="1" t="s">
        <v>8</v>
      </c>
      <c r="D326" s="3">
        <v>808.86</v>
      </c>
      <c r="E326" s="3">
        <v>3.72</v>
      </c>
      <c r="F326" s="1" t="s">
        <v>9</v>
      </c>
      <c r="G326" s="1" t="str">
        <f>TEXT(RideData[[#This Row],[timestamp]],"hh:mm")</f>
        <v>11:45</v>
      </c>
    </row>
    <row r="327" spans="1:7">
      <c r="A327" s="1" t="s">
        <v>344</v>
      </c>
      <c r="B327" s="2">
        <v>46169.48958333334</v>
      </c>
      <c r="C327" s="1" t="s">
        <v>21</v>
      </c>
      <c r="D327" s="3">
        <v>1088.15</v>
      </c>
      <c r="E327" s="3">
        <v>4.74</v>
      </c>
      <c r="F327" s="1" t="s">
        <v>9</v>
      </c>
      <c r="G327" s="1" t="str">
        <f>TEXT(RideData[[#This Row],[timestamp]],"hh:mm")</f>
        <v>11:45</v>
      </c>
    </row>
    <row r="328" spans="1:7">
      <c r="A328" s="1" t="s">
        <v>345</v>
      </c>
      <c r="B328" s="2">
        <v>46169.48958333334</v>
      </c>
      <c r="C328" s="1" t="s">
        <v>21</v>
      </c>
      <c r="D328" s="3">
        <v>426.31</v>
      </c>
      <c r="E328" s="3">
        <v>4.44</v>
      </c>
      <c r="F328" s="1" t="s">
        <v>9</v>
      </c>
      <c r="G328" s="1" t="str">
        <f>TEXT(RideData[[#This Row],[timestamp]],"hh:mm")</f>
        <v>11:45</v>
      </c>
    </row>
    <row r="329" spans="1:7">
      <c r="A329" s="1" t="s">
        <v>346</v>
      </c>
      <c r="B329" s="2">
        <v>46169.48958333334</v>
      </c>
      <c r="C329" s="1" t="s">
        <v>21</v>
      </c>
      <c r="D329" s="3">
        <v>2591.61</v>
      </c>
      <c r="E329" s="3">
        <v>4.8</v>
      </c>
      <c r="F329" s="1" t="s">
        <v>9</v>
      </c>
      <c r="G329" s="1" t="str">
        <f>TEXT(RideData[[#This Row],[timestamp]],"hh:mm")</f>
        <v>11:45</v>
      </c>
    </row>
    <row r="330" spans="1:7">
      <c r="A330" s="1" t="s">
        <v>347</v>
      </c>
      <c r="B330" s="2">
        <v>46169.48958333334</v>
      </c>
      <c r="C330" s="1" t="s">
        <v>21</v>
      </c>
      <c r="D330" s="3">
        <v>1604.56</v>
      </c>
      <c r="E330" s="3">
        <v>4.73</v>
      </c>
      <c r="F330" s="1" t="s">
        <v>9</v>
      </c>
      <c r="G330" s="1" t="str">
        <f>TEXT(RideData[[#This Row],[timestamp]],"hh:mm")</f>
        <v>11:45</v>
      </c>
    </row>
    <row r="331" spans="1:7">
      <c r="A331" s="1" t="s">
        <v>348</v>
      </c>
      <c r="B331" s="2">
        <v>46169.48958333334</v>
      </c>
      <c r="C331" s="1" t="s">
        <v>12</v>
      </c>
      <c r="D331" s="3">
        <v>2379.33</v>
      </c>
      <c r="E331" s="3">
        <v>4.03</v>
      </c>
      <c r="F331" s="1" t="s">
        <v>9</v>
      </c>
      <c r="G331" s="1" t="str">
        <f>TEXT(RideData[[#This Row],[timestamp]],"hh:mm")</f>
        <v>11:45</v>
      </c>
    </row>
    <row r="332" spans="1:7">
      <c r="A332" s="1" t="s">
        <v>349</v>
      </c>
      <c r="B332" s="2">
        <v>46169.48958333334</v>
      </c>
      <c r="C332" s="1" t="s">
        <v>8</v>
      </c>
      <c r="D332" s="3">
        <v>1366.2</v>
      </c>
      <c r="E332" s="3">
        <v>4.47</v>
      </c>
      <c r="F332" s="1" t="s">
        <v>9</v>
      </c>
      <c r="G332" s="1" t="str">
        <f>TEXT(RideData[[#This Row],[timestamp]],"hh:mm")</f>
        <v>11:45</v>
      </c>
    </row>
    <row r="333" spans="1:7">
      <c r="A333" s="1" t="s">
        <v>350</v>
      </c>
      <c r="B333" s="2">
        <v>46169.48958333334</v>
      </c>
      <c r="C333" s="1" t="s">
        <v>8</v>
      </c>
      <c r="D333" s="3">
        <v>0</v>
      </c>
      <c r="E333" s="3">
        <v>4.21</v>
      </c>
      <c r="F333" s="1" t="s">
        <v>15</v>
      </c>
      <c r="G333" s="1" t="str">
        <f>TEXT(RideData[[#This Row],[timestamp]],"hh:mm")</f>
        <v>11:45</v>
      </c>
    </row>
    <row r="334" spans="1:7">
      <c r="A334" s="1" t="s">
        <v>351</v>
      </c>
      <c r="B334" s="2">
        <v>46169.48958333334</v>
      </c>
      <c r="C334" s="1" t="s">
        <v>8</v>
      </c>
      <c r="D334" s="3">
        <v>1247.01</v>
      </c>
      <c r="E334" s="3">
        <v>2.92</v>
      </c>
      <c r="F334" s="1" t="s">
        <v>9</v>
      </c>
      <c r="G334" s="1" t="str">
        <f>TEXT(RideData[[#This Row],[timestamp]],"hh:mm")</f>
        <v>11:45</v>
      </c>
    </row>
    <row r="335" spans="1:7">
      <c r="A335" s="1" t="s">
        <v>352</v>
      </c>
      <c r="B335" s="2">
        <v>46169.48958333334</v>
      </c>
      <c r="C335" s="1" t="s">
        <v>8</v>
      </c>
      <c r="D335" s="3">
        <v>0</v>
      </c>
      <c r="E335" s="3">
        <v>3.62</v>
      </c>
      <c r="F335" s="1" t="s">
        <v>15</v>
      </c>
      <c r="G335" s="1" t="str">
        <f>TEXT(RideData[[#This Row],[timestamp]],"hh:mm")</f>
        <v>11:45</v>
      </c>
    </row>
    <row r="336" spans="1:7">
      <c r="A336" s="1" t="s">
        <v>353</v>
      </c>
      <c r="B336" s="2">
        <v>46169.48958333334</v>
      </c>
      <c r="C336" s="1" t="s">
        <v>19</v>
      </c>
      <c r="D336" s="3">
        <v>1863.45</v>
      </c>
      <c r="E336" s="3">
        <v>4.46</v>
      </c>
      <c r="F336" s="1" t="s">
        <v>9</v>
      </c>
      <c r="G336" s="1" t="str">
        <f>TEXT(RideData[[#This Row],[timestamp]],"hh:mm")</f>
        <v>11:45</v>
      </c>
    </row>
    <row r="337" spans="1:7">
      <c r="A337" s="1" t="s">
        <v>354</v>
      </c>
      <c r="B337" s="2">
        <v>46169.48958333334</v>
      </c>
      <c r="C337" s="1" t="s">
        <v>19</v>
      </c>
      <c r="D337" s="3">
        <v>3269.29</v>
      </c>
      <c r="E337" s="3">
        <v>3</v>
      </c>
      <c r="F337" s="1" t="s">
        <v>9</v>
      </c>
      <c r="G337" s="1" t="str">
        <f>TEXT(RideData[[#This Row],[timestamp]],"hh:mm")</f>
        <v>11:45</v>
      </c>
    </row>
    <row r="338" spans="1:7">
      <c r="A338" s="1" t="s">
        <v>355</v>
      </c>
      <c r="B338" s="2">
        <v>46169.48958333334</v>
      </c>
      <c r="C338" s="1" t="s">
        <v>8</v>
      </c>
      <c r="D338" s="3">
        <v>0</v>
      </c>
      <c r="F338" s="1" t="s">
        <v>15</v>
      </c>
      <c r="G338" s="1" t="str">
        <f>TEXT(RideData[[#This Row],[timestamp]],"hh:mm")</f>
        <v>11:45</v>
      </c>
    </row>
    <row r="339" spans="1:7">
      <c r="A339" s="1" t="s">
        <v>356</v>
      </c>
      <c r="B339" s="2">
        <v>46169.48958333334</v>
      </c>
      <c r="C339" s="1" t="s">
        <v>8</v>
      </c>
      <c r="D339" s="3">
        <v>1525.1</v>
      </c>
      <c r="E339" s="3">
        <v>3.55</v>
      </c>
      <c r="F339" s="1" t="s">
        <v>9</v>
      </c>
      <c r="G339" s="1" t="str">
        <f>TEXT(RideData[[#This Row],[timestamp]],"hh:mm")</f>
        <v>11:45</v>
      </c>
    </row>
    <row r="340" spans="1:7">
      <c r="A340" s="1" t="s">
        <v>357</v>
      </c>
      <c r="B340" s="2">
        <v>46169.48958333334</v>
      </c>
      <c r="C340" s="1" t="s">
        <v>8</v>
      </c>
      <c r="D340" s="3">
        <v>2966.22</v>
      </c>
      <c r="E340" s="3">
        <v>4.2</v>
      </c>
      <c r="F340" s="1" t="s">
        <v>9</v>
      </c>
      <c r="G340" s="1" t="str">
        <f>TEXT(RideData[[#This Row],[timestamp]],"hh:mm")</f>
        <v>11:45</v>
      </c>
    </row>
    <row r="341" spans="1:7">
      <c r="A341" s="1" t="s">
        <v>358</v>
      </c>
      <c r="B341" s="2">
        <v>46169.48958333334</v>
      </c>
      <c r="C341" s="1" t="s">
        <v>21</v>
      </c>
      <c r="D341" s="3">
        <v>2279.26</v>
      </c>
      <c r="E341" s="3">
        <v>4.59</v>
      </c>
      <c r="F341" s="1" t="s">
        <v>9</v>
      </c>
      <c r="G341" s="1" t="str">
        <f>TEXT(RideData[[#This Row],[timestamp]],"hh:mm")</f>
        <v>11:45</v>
      </c>
    </row>
    <row r="342" spans="1:7">
      <c r="A342" s="1" t="s">
        <v>359</v>
      </c>
      <c r="B342" s="2">
        <v>46169.48958333334</v>
      </c>
      <c r="C342" s="1" t="s">
        <v>12</v>
      </c>
      <c r="D342" s="3">
        <v>1083.47</v>
      </c>
      <c r="F342" s="1" t="s">
        <v>9</v>
      </c>
      <c r="G342" s="1" t="str">
        <f>TEXT(RideData[[#This Row],[timestamp]],"hh:mm")</f>
        <v>11:45</v>
      </c>
    </row>
    <row r="343" spans="1:7">
      <c r="A343" s="1" t="s">
        <v>360</v>
      </c>
      <c r="B343" s="2">
        <v>46169.48958333334</v>
      </c>
      <c r="C343" s="1" t="s">
        <v>8</v>
      </c>
      <c r="D343" s="3">
        <v>800.49</v>
      </c>
      <c r="E343" s="3">
        <v>4.28</v>
      </c>
      <c r="F343" s="1" t="s">
        <v>9</v>
      </c>
      <c r="G343" s="1" t="str">
        <f>TEXT(RideData[[#This Row],[timestamp]],"hh:mm")</f>
        <v>11:45</v>
      </c>
    </row>
    <row r="344" spans="1:7">
      <c r="A344" s="1" t="s">
        <v>361</v>
      </c>
      <c r="B344" s="2">
        <v>46169.48958333334</v>
      </c>
      <c r="C344" s="1" t="s">
        <v>21</v>
      </c>
      <c r="D344" s="3">
        <v>2010.11</v>
      </c>
      <c r="E344" s="3">
        <v>3.92</v>
      </c>
      <c r="F344" s="1" t="s">
        <v>9</v>
      </c>
      <c r="G344" s="1" t="str">
        <f>TEXT(RideData[[#This Row],[timestamp]],"hh:mm")</f>
        <v>11:45</v>
      </c>
    </row>
    <row r="345" spans="1:7">
      <c r="A345" s="1" t="s">
        <v>362</v>
      </c>
      <c r="B345" s="2">
        <v>46169.48958333334</v>
      </c>
      <c r="C345" s="1" t="s">
        <v>8</v>
      </c>
      <c r="D345" s="3">
        <v>1215.87</v>
      </c>
      <c r="E345" s="3">
        <v>3.88</v>
      </c>
      <c r="F345" s="1" t="s">
        <v>9</v>
      </c>
      <c r="G345" s="1" t="str">
        <f>TEXT(RideData[[#This Row],[timestamp]],"hh:mm")</f>
        <v>11:45</v>
      </c>
    </row>
    <row r="346" spans="1:7">
      <c r="A346" s="1" t="s">
        <v>363</v>
      </c>
      <c r="B346" s="2">
        <v>46169.48958333334</v>
      </c>
      <c r="C346" s="1" t="s">
        <v>12</v>
      </c>
      <c r="D346" s="3">
        <v>2388.7</v>
      </c>
      <c r="F346" s="1" t="s">
        <v>9</v>
      </c>
      <c r="G346" s="1" t="str">
        <f>TEXT(RideData[[#This Row],[timestamp]],"hh:mm")</f>
        <v>11:45</v>
      </c>
    </row>
    <row r="347" spans="1:7">
      <c r="A347" s="1" t="s">
        <v>364</v>
      </c>
      <c r="B347" s="2">
        <v>46169.48958333334</v>
      </c>
      <c r="C347" s="1" t="s">
        <v>19</v>
      </c>
      <c r="D347" s="3">
        <v>1023.91</v>
      </c>
      <c r="E347" s="3">
        <v>3.56</v>
      </c>
      <c r="F347" s="1" t="s">
        <v>9</v>
      </c>
      <c r="G347" s="1" t="str">
        <f>TEXT(RideData[[#This Row],[timestamp]],"hh:mm")</f>
        <v>11:45</v>
      </c>
    </row>
    <row r="348" spans="1:7">
      <c r="A348" s="1" t="s">
        <v>365</v>
      </c>
      <c r="B348" s="2">
        <v>46169.48958333334</v>
      </c>
      <c r="C348" s="1" t="s">
        <v>19</v>
      </c>
      <c r="D348" s="3">
        <v>1076.68</v>
      </c>
      <c r="F348" s="1" t="s">
        <v>9</v>
      </c>
      <c r="G348" s="1" t="str">
        <f>TEXT(RideData[[#This Row],[timestamp]],"hh:mm")</f>
        <v>11:45</v>
      </c>
    </row>
    <row r="349" spans="1:7">
      <c r="A349" s="1" t="s">
        <v>366</v>
      </c>
      <c r="B349" s="2">
        <v>46169.48958333334</v>
      </c>
      <c r="C349" s="1" t="s">
        <v>19</v>
      </c>
      <c r="D349" s="3">
        <v>0</v>
      </c>
      <c r="F349" s="1" t="s">
        <v>17</v>
      </c>
      <c r="G349" s="1" t="str">
        <f>TEXT(RideData[[#This Row],[timestamp]],"hh:mm")</f>
        <v>11:45</v>
      </c>
    </row>
    <row r="350" spans="1:7">
      <c r="A350" s="1" t="s">
        <v>367</v>
      </c>
      <c r="B350" s="2">
        <v>46169.48958333334</v>
      </c>
      <c r="C350" s="1" t="s">
        <v>21</v>
      </c>
      <c r="D350" s="3">
        <v>1118.74</v>
      </c>
      <c r="E350" s="3">
        <v>4.49</v>
      </c>
      <c r="F350" s="1" t="s">
        <v>9</v>
      </c>
      <c r="G350" s="1" t="str">
        <f>TEXT(RideData[[#This Row],[timestamp]],"hh:mm")</f>
        <v>11:45</v>
      </c>
    </row>
    <row r="351" spans="1:7">
      <c r="A351" s="1" t="s">
        <v>368</v>
      </c>
      <c r="B351" s="2">
        <v>46169.48958333334</v>
      </c>
      <c r="C351" s="1" t="s">
        <v>21</v>
      </c>
      <c r="D351" s="3">
        <v>1765.56</v>
      </c>
      <c r="E351" s="3">
        <v>3.22</v>
      </c>
      <c r="F351" s="1" t="s">
        <v>9</v>
      </c>
      <c r="G351" s="1" t="str">
        <f>TEXT(RideData[[#This Row],[timestamp]],"hh:mm")</f>
        <v>11:45</v>
      </c>
    </row>
    <row r="352" spans="1:7">
      <c r="A352" s="1" t="s">
        <v>369</v>
      </c>
      <c r="B352" s="2">
        <v>46169.48958333334</v>
      </c>
      <c r="C352" s="1" t="s">
        <v>21</v>
      </c>
      <c r="D352" s="3">
        <v>2823.95</v>
      </c>
      <c r="E352" s="3">
        <v>3.88</v>
      </c>
      <c r="F352" s="1" t="s">
        <v>9</v>
      </c>
      <c r="G352" s="1" t="str">
        <f>TEXT(RideData[[#This Row],[timestamp]],"hh:mm")</f>
        <v>11:45</v>
      </c>
    </row>
    <row r="353" spans="1:7">
      <c r="A353" s="1" t="s">
        <v>370</v>
      </c>
      <c r="B353" s="2">
        <v>46169.48958333334</v>
      </c>
      <c r="C353" s="1" t="s">
        <v>21</v>
      </c>
      <c r="D353" s="3">
        <v>1271.46</v>
      </c>
      <c r="E353" s="3">
        <v>3.28</v>
      </c>
      <c r="F353" s="1" t="s">
        <v>9</v>
      </c>
      <c r="G353" s="1" t="str">
        <f>TEXT(RideData[[#This Row],[timestamp]],"hh:mm")</f>
        <v>11:45</v>
      </c>
    </row>
    <row r="354" spans="1:7">
      <c r="A354" s="1" t="s">
        <v>371</v>
      </c>
      <c r="B354" s="2">
        <v>46169.48958333334</v>
      </c>
      <c r="C354" s="1" t="s">
        <v>21</v>
      </c>
      <c r="D354" s="3">
        <v>1423.3</v>
      </c>
      <c r="E354" s="3">
        <v>4.16</v>
      </c>
      <c r="F354" s="1" t="s">
        <v>9</v>
      </c>
      <c r="G354" s="1" t="str">
        <f>TEXT(RideData[[#This Row],[timestamp]],"hh:mm")</f>
        <v>11:45</v>
      </c>
    </row>
    <row r="355" spans="1:7">
      <c r="A355" s="1" t="s">
        <v>372</v>
      </c>
      <c r="B355" s="2">
        <v>46169.48958333334</v>
      </c>
      <c r="C355" s="1" t="s">
        <v>21</v>
      </c>
      <c r="D355" s="3">
        <v>859.58</v>
      </c>
      <c r="E355" s="3">
        <v>5</v>
      </c>
      <c r="F355" s="1" t="s">
        <v>9</v>
      </c>
      <c r="G355" s="1" t="str">
        <f>TEXT(RideData[[#This Row],[timestamp]],"hh:mm")</f>
        <v>11:45</v>
      </c>
    </row>
    <row r="356" spans="1:7">
      <c r="A356" s="1" t="s">
        <v>373</v>
      </c>
      <c r="B356" s="2">
        <v>46169.48958333334</v>
      </c>
      <c r="C356" s="1" t="s">
        <v>12</v>
      </c>
      <c r="D356" s="3">
        <v>1367.11</v>
      </c>
      <c r="E356" s="3">
        <v>4.37</v>
      </c>
      <c r="F356" s="1" t="s">
        <v>9</v>
      </c>
      <c r="G356" s="1" t="str">
        <f>TEXT(RideData[[#This Row],[timestamp]],"hh:mm")</f>
        <v>11:45</v>
      </c>
    </row>
    <row r="357" spans="1:7">
      <c r="A357" s="1" t="s">
        <v>374</v>
      </c>
      <c r="B357" s="2">
        <v>46169.48958333334</v>
      </c>
      <c r="C357" s="1" t="s">
        <v>21</v>
      </c>
      <c r="D357" s="3">
        <v>1693.03</v>
      </c>
      <c r="E357" s="3">
        <v>3.41</v>
      </c>
      <c r="F357" s="1" t="s">
        <v>9</v>
      </c>
      <c r="G357" s="1" t="str">
        <f>TEXT(RideData[[#This Row],[timestamp]],"hh:mm")</f>
        <v>11:45</v>
      </c>
    </row>
    <row r="358" spans="1:7">
      <c r="A358" s="1" t="s">
        <v>375</v>
      </c>
      <c r="B358" s="2">
        <v>46169.48958333334</v>
      </c>
      <c r="C358" s="1" t="s">
        <v>12</v>
      </c>
      <c r="D358" s="3">
        <v>0</v>
      </c>
      <c r="E358" s="3">
        <v>4.33</v>
      </c>
      <c r="F358" s="1" t="s">
        <v>15</v>
      </c>
      <c r="G358" s="1" t="str">
        <f>TEXT(RideData[[#This Row],[timestamp]],"hh:mm")</f>
        <v>11:45</v>
      </c>
    </row>
    <row r="359" spans="1:7">
      <c r="A359" s="1" t="s">
        <v>376</v>
      </c>
      <c r="B359" s="2">
        <v>46169.48958333334</v>
      </c>
      <c r="C359" s="1" t="s">
        <v>19</v>
      </c>
      <c r="D359" s="3">
        <v>2473.65</v>
      </c>
      <c r="E359" s="3">
        <v>3.48</v>
      </c>
      <c r="F359" s="1" t="s">
        <v>9</v>
      </c>
      <c r="G359" s="1" t="str">
        <f>TEXT(RideData[[#This Row],[timestamp]],"hh:mm")</f>
        <v>11:45</v>
      </c>
    </row>
    <row r="360" spans="1:7">
      <c r="A360" s="1" t="s">
        <v>377</v>
      </c>
      <c r="B360" s="2">
        <v>46169.48958333334</v>
      </c>
      <c r="C360" s="1" t="s">
        <v>8</v>
      </c>
      <c r="D360" s="3">
        <v>0</v>
      </c>
      <c r="E360" s="3">
        <v>4.64</v>
      </c>
      <c r="F360" s="1" t="s">
        <v>17</v>
      </c>
      <c r="G360" s="1" t="str">
        <f>TEXT(RideData[[#This Row],[timestamp]],"hh:mm")</f>
        <v>11:45</v>
      </c>
    </row>
    <row r="361" spans="1:7">
      <c r="A361" s="1" t="s">
        <v>378</v>
      </c>
      <c r="B361" s="2">
        <v>46169.48958333334</v>
      </c>
      <c r="C361" s="1" t="s">
        <v>8</v>
      </c>
      <c r="D361" s="3">
        <v>2218.45</v>
      </c>
      <c r="E361" s="3">
        <v>3.18</v>
      </c>
      <c r="F361" s="1" t="s">
        <v>9</v>
      </c>
      <c r="G361" s="1" t="str">
        <f>TEXT(RideData[[#This Row],[timestamp]],"hh:mm")</f>
        <v>11:45</v>
      </c>
    </row>
    <row r="362" spans="1:7">
      <c r="A362" s="1" t="s">
        <v>379</v>
      </c>
      <c r="B362" s="2">
        <v>46169.48958333334</v>
      </c>
      <c r="C362" s="1" t="s">
        <v>12</v>
      </c>
      <c r="D362" s="3">
        <v>1804.46</v>
      </c>
      <c r="E362" s="3">
        <v>4.62</v>
      </c>
      <c r="F362" s="1" t="s">
        <v>9</v>
      </c>
      <c r="G362" s="1" t="str">
        <f>TEXT(RideData[[#This Row],[timestamp]],"hh:mm")</f>
        <v>11:45</v>
      </c>
    </row>
    <row r="363" spans="1:7">
      <c r="A363" s="1" t="s">
        <v>380</v>
      </c>
      <c r="B363" s="2">
        <v>46169.48958333334</v>
      </c>
      <c r="C363" s="1" t="s">
        <v>21</v>
      </c>
      <c r="D363" s="3">
        <v>1965.63</v>
      </c>
      <c r="F363" s="1" t="s">
        <v>9</v>
      </c>
      <c r="G363" s="1" t="str">
        <f>TEXT(RideData[[#This Row],[timestamp]],"hh:mm")</f>
        <v>11:45</v>
      </c>
    </row>
    <row r="364" spans="1:7">
      <c r="A364" s="1" t="s">
        <v>381</v>
      </c>
      <c r="B364" s="2">
        <v>46169.48958333334</v>
      </c>
      <c r="C364" s="1" t="s">
        <v>21</v>
      </c>
      <c r="D364" s="3">
        <v>1343.44</v>
      </c>
      <c r="E364" s="3">
        <v>4.41</v>
      </c>
      <c r="F364" s="1" t="s">
        <v>9</v>
      </c>
      <c r="G364" s="1" t="str">
        <f>TEXT(RideData[[#This Row],[timestamp]],"hh:mm")</f>
        <v>11:45</v>
      </c>
    </row>
    <row r="365" spans="1:7">
      <c r="A365" s="1" t="s">
        <v>382</v>
      </c>
      <c r="B365" s="2">
        <v>46169.48958333334</v>
      </c>
      <c r="C365" s="1" t="s">
        <v>12</v>
      </c>
      <c r="D365" s="3">
        <v>0</v>
      </c>
      <c r="E365" s="3">
        <v>4.19</v>
      </c>
      <c r="F365" s="1" t="s">
        <v>15</v>
      </c>
      <c r="G365" s="1" t="str">
        <f>TEXT(RideData[[#This Row],[timestamp]],"hh:mm")</f>
        <v>11:45</v>
      </c>
    </row>
    <row r="366" spans="1:7">
      <c r="A366" s="1" t="s">
        <v>383</v>
      </c>
      <c r="B366" s="2">
        <v>46169.48958333334</v>
      </c>
      <c r="C366" s="1" t="s">
        <v>12</v>
      </c>
      <c r="D366" s="3">
        <v>1311.43</v>
      </c>
      <c r="E366" s="3">
        <v>4.02</v>
      </c>
      <c r="F366" s="1" t="s">
        <v>9</v>
      </c>
      <c r="G366" s="1" t="str">
        <f>TEXT(RideData[[#This Row],[timestamp]],"hh:mm")</f>
        <v>11:45</v>
      </c>
    </row>
    <row r="367" spans="1:7">
      <c r="A367" s="1" t="s">
        <v>384</v>
      </c>
      <c r="B367" s="2">
        <v>46169.48958333334</v>
      </c>
      <c r="C367" s="1" t="s">
        <v>12</v>
      </c>
      <c r="D367" s="3">
        <v>0</v>
      </c>
      <c r="E367" s="3">
        <v>4.07</v>
      </c>
      <c r="F367" s="1" t="s">
        <v>17</v>
      </c>
      <c r="G367" s="1" t="str">
        <f>TEXT(RideData[[#This Row],[timestamp]],"hh:mm")</f>
        <v>11:45</v>
      </c>
    </row>
    <row r="368" spans="1:7">
      <c r="A368" s="1" t="s">
        <v>385</v>
      </c>
      <c r="B368" s="2">
        <v>46169.48958333334</v>
      </c>
      <c r="C368" s="1" t="s">
        <v>8</v>
      </c>
      <c r="D368" s="3">
        <v>0</v>
      </c>
      <c r="E368" s="3">
        <v>4.64</v>
      </c>
      <c r="F368" s="1" t="s">
        <v>17</v>
      </c>
      <c r="G368" s="1" t="str">
        <f>TEXT(RideData[[#This Row],[timestamp]],"hh:mm")</f>
        <v>11:45</v>
      </c>
    </row>
    <row r="369" spans="1:7">
      <c r="A369" s="1" t="s">
        <v>386</v>
      </c>
      <c r="B369" s="2">
        <v>46169.48958333334</v>
      </c>
      <c r="C369" s="1" t="s">
        <v>12</v>
      </c>
      <c r="D369" s="3">
        <v>1575.69</v>
      </c>
      <c r="E369" s="3">
        <v>4.6</v>
      </c>
      <c r="F369" s="1" t="s">
        <v>9</v>
      </c>
      <c r="G369" s="1" t="str">
        <f>TEXT(RideData[[#This Row],[timestamp]],"hh:mm")</f>
        <v>11:45</v>
      </c>
    </row>
    <row r="370" spans="1:7">
      <c r="A370" s="1" t="s">
        <v>387</v>
      </c>
      <c r="B370" s="2">
        <v>46169.48958333334</v>
      </c>
      <c r="C370" s="1" t="s">
        <v>19</v>
      </c>
      <c r="D370" s="3">
        <v>561.8099999999999</v>
      </c>
      <c r="E370" s="3">
        <v>3.61</v>
      </c>
      <c r="F370" s="1" t="s">
        <v>9</v>
      </c>
      <c r="G370" s="1" t="str">
        <f>TEXT(RideData[[#This Row],[timestamp]],"hh:mm")</f>
        <v>11:45</v>
      </c>
    </row>
    <row r="371" spans="1:7">
      <c r="A371" s="1" t="s">
        <v>388</v>
      </c>
      <c r="B371" s="2">
        <v>46169.48958333334</v>
      </c>
      <c r="C371" s="1" t="s">
        <v>21</v>
      </c>
      <c r="D371" s="3">
        <v>0</v>
      </c>
      <c r="E371" s="3">
        <v>3.21</v>
      </c>
      <c r="F371" s="1" t="s">
        <v>15</v>
      </c>
      <c r="G371" s="1" t="str">
        <f>TEXT(RideData[[#This Row],[timestamp]],"hh:mm")</f>
        <v>11:45</v>
      </c>
    </row>
    <row r="372" spans="1:7">
      <c r="A372" s="1" t="s">
        <v>389</v>
      </c>
      <c r="B372" s="2">
        <v>46169.48958333334</v>
      </c>
      <c r="C372" s="1" t="s">
        <v>19</v>
      </c>
      <c r="D372" s="3">
        <v>1562.95</v>
      </c>
      <c r="E372" s="3">
        <v>4.05</v>
      </c>
      <c r="F372" s="1" t="s">
        <v>9</v>
      </c>
      <c r="G372" s="1" t="str">
        <f>TEXT(RideData[[#This Row],[timestamp]],"hh:mm")</f>
        <v>11:45</v>
      </c>
    </row>
    <row r="373" spans="1:7">
      <c r="A373" s="1" t="s">
        <v>390</v>
      </c>
      <c r="B373" s="2">
        <v>46169.48958333334</v>
      </c>
      <c r="C373" s="1" t="s">
        <v>21</v>
      </c>
      <c r="D373" s="3">
        <v>2394.98</v>
      </c>
      <c r="E373" s="3">
        <v>3.28</v>
      </c>
      <c r="F373" s="1" t="s">
        <v>9</v>
      </c>
      <c r="G373" s="1" t="str">
        <f>TEXT(RideData[[#This Row],[timestamp]],"hh:mm")</f>
        <v>11:45</v>
      </c>
    </row>
    <row r="374" spans="1:7">
      <c r="A374" s="1" t="s">
        <v>391</v>
      </c>
      <c r="B374" s="2">
        <v>46169.49305555555</v>
      </c>
      <c r="C374" s="1" t="s">
        <v>19</v>
      </c>
      <c r="D374" s="3">
        <v>1162.39</v>
      </c>
      <c r="E374" s="3">
        <v>4.7</v>
      </c>
      <c r="F374" s="1" t="s">
        <v>9</v>
      </c>
      <c r="G374" s="1" t="str">
        <f>TEXT(RideData[[#This Row],[timestamp]],"hh:mm")</f>
        <v>11:50</v>
      </c>
    </row>
    <row r="375" spans="1:7">
      <c r="A375" s="1" t="s">
        <v>393</v>
      </c>
      <c r="B375" s="2">
        <v>46169.49305555555</v>
      </c>
      <c r="C375" s="1" t="s">
        <v>21</v>
      </c>
      <c r="D375" s="3">
        <v>0</v>
      </c>
      <c r="E375" s="3">
        <v>3.99</v>
      </c>
      <c r="F375" s="1" t="s">
        <v>15</v>
      </c>
      <c r="G375" s="1" t="str">
        <f>TEXT(RideData[[#This Row],[timestamp]],"hh:mm")</f>
        <v>11:50</v>
      </c>
    </row>
    <row r="376" spans="1:7">
      <c r="A376" s="1" t="s">
        <v>394</v>
      </c>
      <c r="B376" s="2">
        <v>46169.49305555555</v>
      </c>
      <c r="C376" s="1" t="s">
        <v>21</v>
      </c>
      <c r="D376" s="3">
        <v>1656.45</v>
      </c>
      <c r="E376" s="3">
        <v>3.23</v>
      </c>
      <c r="F376" s="1" t="s">
        <v>9</v>
      </c>
      <c r="G376" s="1" t="str">
        <f>TEXT(RideData[[#This Row],[timestamp]],"hh:mm")</f>
        <v>11:50</v>
      </c>
    </row>
    <row r="377" spans="1:7">
      <c r="A377" s="1" t="s">
        <v>395</v>
      </c>
      <c r="B377" s="2">
        <v>46169.49305555555</v>
      </c>
      <c r="C377" s="1" t="s">
        <v>21</v>
      </c>
      <c r="D377" s="3">
        <v>1431.75</v>
      </c>
      <c r="E377" s="3">
        <v>3.95</v>
      </c>
      <c r="F377" s="1" t="s">
        <v>9</v>
      </c>
      <c r="G377" s="1" t="str">
        <f>TEXT(RideData[[#This Row],[timestamp]],"hh:mm")</f>
        <v>11:50</v>
      </c>
    </row>
    <row r="378" spans="1:7">
      <c r="A378" s="1" t="s">
        <v>396</v>
      </c>
      <c r="B378" s="2">
        <v>46169.49305555555</v>
      </c>
      <c r="C378" s="1" t="s">
        <v>21</v>
      </c>
      <c r="D378" s="3">
        <v>0</v>
      </c>
      <c r="E378" s="3">
        <v>3.44</v>
      </c>
      <c r="F378" s="1" t="s">
        <v>15</v>
      </c>
      <c r="G378" s="1" t="str">
        <f>TEXT(RideData[[#This Row],[timestamp]],"hh:mm")</f>
        <v>11:50</v>
      </c>
    </row>
    <row r="379" spans="1:7">
      <c r="A379" s="1" t="s">
        <v>397</v>
      </c>
      <c r="B379" s="2">
        <v>46169.49305555555</v>
      </c>
      <c r="C379" s="1" t="s">
        <v>12</v>
      </c>
      <c r="D379" s="3">
        <v>1606.27</v>
      </c>
      <c r="F379" s="1" t="s">
        <v>9</v>
      </c>
      <c r="G379" s="1" t="str">
        <f>TEXT(RideData[[#This Row],[timestamp]],"hh:mm")</f>
        <v>11:50</v>
      </c>
    </row>
    <row r="380" spans="1:7">
      <c r="A380" s="1" t="s">
        <v>398</v>
      </c>
      <c r="B380" s="2">
        <v>46169.49305555555</v>
      </c>
      <c r="C380" s="1" t="s">
        <v>21</v>
      </c>
      <c r="D380" s="3">
        <v>2362.12</v>
      </c>
      <c r="E380" s="3">
        <v>3.8</v>
      </c>
      <c r="F380" s="1" t="s">
        <v>9</v>
      </c>
      <c r="G380" s="1" t="str">
        <f>TEXT(RideData[[#This Row],[timestamp]],"hh:mm")</f>
        <v>11:50</v>
      </c>
    </row>
    <row r="381" spans="1:7">
      <c r="A381" s="1" t="s">
        <v>399</v>
      </c>
      <c r="B381" s="2">
        <v>46169.49305555555</v>
      </c>
      <c r="C381" s="1" t="s">
        <v>19</v>
      </c>
      <c r="D381" s="3">
        <v>1167.8</v>
      </c>
      <c r="F381" s="1" t="s">
        <v>9</v>
      </c>
      <c r="G381" s="1" t="str">
        <f>TEXT(RideData[[#This Row],[timestamp]],"hh:mm")</f>
        <v>11:50</v>
      </c>
    </row>
    <row r="382" spans="1:7">
      <c r="A382" s="1" t="s">
        <v>400</v>
      </c>
      <c r="B382" s="2">
        <v>46169.49305555555</v>
      </c>
      <c r="C382" s="1" t="s">
        <v>12</v>
      </c>
      <c r="D382" s="3">
        <v>0</v>
      </c>
      <c r="E382" s="3">
        <v>3.88</v>
      </c>
      <c r="F382" s="1" t="s">
        <v>15</v>
      </c>
      <c r="G382" s="1" t="str">
        <f>TEXT(RideData[[#This Row],[timestamp]],"hh:mm")</f>
        <v>11:50</v>
      </c>
    </row>
    <row r="383" spans="1:7">
      <c r="A383" s="1" t="s">
        <v>401</v>
      </c>
      <c r="B383" s="2">
        <v>46169.49305555555</v>
      </c>
      <c r="C383" s="1" t="s">
        <v>21</v>
      </c>
      <c r="D383" s="3">
        <v>1395.34</v>
      </c>
      <c r="E383" s="3">
        <v>4.28</v>
      </c>
      <c r="F383" s="1" t="s">
        <v>9</v>
      </c>
      <c r="G383" s="1" t="str">
        <f>TEXT(RideData[[#This Row],[timestamp]],"hh:mm")</f>
        <v>11:50</v>
      </c>
    </row>
    <row r="384" spans="1:7">
      <c r="A384" s="1" t="s">
        <v>402</v>
      </c>
      <c r="B384" s="2">
        <v>46169.49305555555</v>
      </c>
      <c r="C384" s="1" t="s">
        <v>12</v>
      </c>
      <c r="D384" s="3">
        <v>1435.67</v>
      </c>
      <c r="E384" s="3">
        <v>4.45</v>
      </c>
      <c r="F384" s="1" t="s">
        <v>9</v>
      </c>
      <c r="G384" s="1" t="str">
        <f>TEXT(RideData[[#This Row],[timestamp]],"hh:mm")</f>
        <v>11:50</v>
      </c>
    </row>
    <row r="385" spans="1:7">
      <c r="A385" s="1" t="s">
        <v>403</v>
      </c>
      <c r="B385" s="2">
        <v>46169.49305555555</v>
      </c>
      <c r="C385" s="1" t="s">
        <v>21</v>
      </c>
      <c r="D385" s="3">
        <v>757.96</v>
      </c>
      <c r="E385" s="3">
        <v>4.17</v>
      </c>
      <c r="F385" s="1" t="s">
        <v>9</v>
      </c>
      <c r="G385" s="1" t="str">
        <f>TEXT(RideData[[#This Row],[timestamp]],"hh:mm")</f>
        <v>11:50</v>
      </c>
    </row>
    <row r="386" spans="1:7">
      <c r="A386" s="1" t="s">
        <v>404</v>
      </c>
      <c r="B386" s="2">
        <v>46169.49305555555</v>
      </c>
      <c r="C386" s="1" t="s">
        <v>8</v>
      </c>
      <c r="D386" s="3">
        <v>0</v>
      </c>
      <c r="E386" s="3">
        <v>5</v>
      </c>
      <c r="F386" s="1" t="s">
        <v>15</v>
      </c>
      <c r="G386" s="1" t="str">
        <f>TEXT(RideData[[#This Row],[timestamp]],"hh:mm")</f>
        <v>11:50</v>
      </c>
    </row>
    <row r="387" spans="1:7">
      <c r="A387" s="1" t="s">
        <v>405</v>
      </c>
      <c r="B387" s="2">
        <v>46169.49305555555</v>
      </c>
      <c r="C387" s="1" t="s">
        <v>21</v>
      </c>
      <c r="D387" s="3">
        <v>1797.19</v>
      </c>
      <c r="E387" s="3">
        <v>4.84</v>
      </c>
      <c r="F387" s="1" t="s">
        <v>9</v>
      </c>
      <c r="G387" s="1" t="str">
        <f>TEXT(RideData[[#This Row],[timestamp]],"hh:mm")</f>
        <v>11:50</v>
      </c>
    </row>
    <row r="388" spans="1:7">
      <c r="A388" s="1" t="s">
        <v>406</v>
      </c>
      <c r="B388" s="2">
        <v>46169.49305555555</v>
      </c>
      <c r="C388" s="1" t="s">
        <v>19</v>
      </c>
      <c r="D388" s="3">
        <v>2120.26</v>
      </c>
      <c r="E388" s="3">
        <v>4.42</v>
      </c>
      <c r="F388" s="1" t="s">
        <v>9</v>
      </c>
      <c r="G388" s="1" t="str">
        <f>TEXT(RideData[[#This Row],[timestamp]],"hh:mm")</f>
        <v>11:50</v>
      </c>
    </row>
    <row r="389" spans="1:7">
      <c r="A389" s="1" t="s">
        <v>407</v>
      </c>
      <c r="B389" s="2">
        <v>46169.49305555555</v>
      </c>
      <c r="C389" s="1" t="s">
        <v>21</v>
      </c>
      <c r="D389" s="3">
        <v>2911.88</v>
      </c>
      <c r="E389" s="3">
        <v>3.46</v>
      </c>
      <c r="F389" s="1" t="s">
        <v>9</v>
      </c>
      <c r="G389" s="1" t="str">
        <f>TEXT(RideData[[#This Row],[timestamp]],"hh:mm")</f>
        <v>11:50</v>
      </c>
    </row>
    <row r="390" spans="1:7">
      <c r="A390" s="1" t="s">
        <v>408</v>
      </c>
      <c r="B390" s="2">
        <v>46169.49305555555</v>
      </c>
      <c r="C390" s="1" t="s">
        <v>8</v>
      </c>
      <c r="D390" s="3">
        <v>1223.64</v>
      </c>
      <c r="E390" s="3">
        <v>4.31</v>
      </c>
      <c r="F390" s="1" t="s">
        <v>9</v>
      </c>
      <c r="G390" s="1" t="str">
        <f>TEXT(RideData[[#This Row],[timestamp]],"hh:mm")</f>
        <v>11:50</v>
      </c>
    </row>
    <row r="391" spans="1:7">
      <c r="A391" s="1" t="s">
        <v>409</v>
      </c>
      <c r="B391" s="2">
        <v>46169.49305555555</v>
      </c>
      <c r="C391" s="1" t="s">
        <v>21</v>
      </c>
      <c r="D391" s="3">
        <v>2159.02</v>
      </c>
      <c r="E391" s="3">
        <v>3.69</v>
      </c>
      <c r="F391" s="1" t="s">
        <v>9</v>
      </c>
      <c r="G391" s="1" t="str">
        <f>TEXT(RideData[[#This Row],[timestamp]],"hh:mm")</f>
        <v>11:50</v>
      </c>
    </row>
    <row r="392" spans="1:7">
      <c r="A392" s="1" t="s">
        <v>410</v>
      </c>
      <c r="B392" s="2">
        <v>46169.49305555555</v>
      </c>
      <c r="C392" s="1" t="s">
        <v>19</v>
      </c>
      <c r="D392" s="3">
        <v>706.95</v>
      </c>
      <c r="F392" s="1" t="s">
        <v>9</v>
      </c>
      <c r="G392" s="1" t="str">
        <f>TEXT(RideData[[#This Row],[timestamp]],"hh:mm")</f>
        <v>11:50</v>
      </c>
    </row>
    <row r="393" spans="1:7">
      <c r="A393" s="1" t="s">
        <v>411</v>
      </c>
      <c r="B393" s="2">
        <v>46169.49305555555</v>
      </c>
      <c r="C393" s="1" t="s">
        <v>21</v>
      </c>
      <c r="D393" s="3">
        <v>1432.01</v>
      </c>
      <c r="E393" s="3">
        <v>3.99</v>
      </c>
      <c r="F393" s="1" t="s">
        <v>9</v>
      </c>
      <c r="G393" s="1" t="str">
        <f>TEXT(RideData[[#This Row],[timestamp]],"hh:mm")</f>
        <v>11:50</v>
      </c>
    </row>
    <row r="394" spans="1:7">
      <c r="A394" s="1" t="s">
        <v>412</v>
      </c>
      <c r="B394" s="2">
        <v>46169.49305555555</v>
      </c>
      <c r="C394" s="1" t="s">
        <v>21</v>
      </c>
      <c r="D394" s="3">
        <v>794.9400000000001</v>
      </c>
      <c r="E394" s="3">
        <v>3.53</v>
      </c>
      <c r="F394" s="1" t="s">
        <v>9</v>
      </c>
      <c r="G394" s="1" t="str">
        <f>TEXT(RideData[[#This Row],[timestamp]],"hh:mm")</f>
        <v>11:50</v>
      </c>
    </row>
    <row r="395" spans="1:7">
      <c r="A395" s="1" t="s">
        <v>413</v>
      </c>
      <c r="B395" s="2">
        <v>46169.49305555555</v>
      </c>
      <c r="C395" s="1" t="s">
        <v>21</v>
      </c>
      <c r="D395" s="3">
        <v>1276.48</v>
      </c>
      <c r="E395" s="3">
        <v>4.07</v>
      </c>
      <c r="F395" s="1" t="s">
        <v>9</v>
      </c>
      <c r="G395" s="1" t="str">
        <f>TEXT(RideData[[#This Row],[timestamp]],"hh:mm")</f>
        <v>11:50</v>
      </c>
    </row>
    <row r="396" spans="1:7">
      <c r="A396" s="1" t="s">
        <v>414</v>
      </c>
      <c r="B396" s="2">
        <v>46169.49305555555</v>
      </c>
      <c r="C396" s="1" t="s">
        <v>19</v>
      </c>
      <c r="D396" s="3">
        <v>552.1799999999999</v>
      </c>
      <c r="E396" s="3">
        <v>4.16</v>
      </c>
      <c r="F396" s="1" t="s">
        <v>9</v>
      </c>
      <c r="G396" s="1" t="str">
        <f>TEXT(RideData[[#This Row],[timestamp]],"hh:mm")</f>
        <v>11:50</v>
      </c>
    </row>
    <row r="397" spans="1:7">
      <c r="A397" s="1" t="s">
        <v>415</v>
      </c>
      <c r="B397" s="2">
        <v>46169.49305555555</v>
      </c>
      <c r="C397" s="1" t="s">
        <v>19</v>
      </c>
      <c r="D397" s="3">
        <v>3991.99</v>
      </c>
      <c r="E397" s="3">
        <v>4.31</v>
      </c>
      <c r="F397" s="1" t="s">
        <v>9</v>
      </c>
      <c r="G397" s="1" t="str">
        <f>TEXT(RideData[[#This Row],[timestamp]],"hh:mm")</f>
        <v>11:50</v>
      </c>
    </row>
    <row r="398" spans="1:7">
      <c r="A398" s="1" t="s">
        <v>416</v>
      </c>
      <c r="B398" s="2">
        <v>46169.49305555555</v>
      </c>
      <c r="C398" s="1" t="s">
        <v>21</v>
      </c>
      <c r="D398" s="3">
        <v>1609.54</v>
      </c>
      <c r="E398" s="3">
        <v>3.15</v>
      </c>
      <c r="F398" s="1" t="s">
        <v>9</v>
      </c>
      <c r="G398" s="1" t="str">
        <f>TEXT(RideData[[#This Row],[timestamp]],"hh:mm")</f>
        <v>11:50</v>
      </c>
    </row>
    <row r="399" spans="1:7">
      <c r="A399" s="1" t="s">
        <v>417</v>
      </c>
      <c r="B399" s="2">
        <v>46169.49305555555</v>
      </c>
      <c r="C399" s="1" t="s">
        <v>8</v>
      </c>
      <c r="D399" s="3">
        <v>0</v>
      </c>
      <c r="E399" s="3">
        <v>4.16</v>
      </c>
      <c r="F399" s="1" t="s">
        <v>15</v>
      </c>
      <c r="G399" s="1" t="str">
        <f>TEXT(RideData[[#This Row],[timestamp]],"hh:mm")</f>
        <v>11:50</v>
      </c>
    </row>
    <row r="400" spans="1:7">
      <c r="A400" s="1" t="s">
        <v>418</v>
      </c>
      <c r="B400" s="2">
        <v>46169.49305555555</v>
      </c>
      <c r="C400" s="1" t="s">
        <v>19</v>
      </c>
      <c r="D400" s="3">
        <v>3866.63</v>
      </c>
      <c r="E400" s="3">
        <v>3.01</v>
      </c>
      <c r="F400" s="1" t="s">
        <v>9</v>
      </c>
      <c r="G400" s="1" t="str">
        <f>TEXT(RideData[[#This Row],[timestamp]],"hh:mm")</f>
        <v>11:50</v>
      </c>
    </row>
    <row r="401" spans="1:7">
      <c r="A401" s="1" t="s">
        <v>419</v>
      </c>
      <c r="B401" s="2">
        <v>46169.49305555555</v>
      </c>
      <c r="C401" s="1" t="s">
        <v>12</v>
      </c>
      <c r="D401" s="3">
        <v>1080.03</v>
      </c>
      <c r="E401" s="3">
        <v>2.73</v>
      </c>
      <c r="F401" s="1" t="s">
        <v>9</v>
      </c>
      <c r="G401" s="1" t="str">
        <f>TEXT(RideData[[#This Row],[timestamp]],"hh:mm")</f>
        <v>11:50</v>
      </c>
    </row>
    <row r="402" spans="1:7">
      <c r="A402" s="1" t="s">
        <v>420</v>
      </c>
      <c r="B402" s="2">
        <v>46169.49305555555</v>
      </c>
      <c r="C402" s="1" t="s">
        <v>19</v>
      </c>
      <c r="D402" s="3">
        <v>1116.61</v>
      </c>
      <c r="E402" s="3">
        <v>3.62</v>
      </c>
      <c r="F402" s="1" t="s">
        <v>9</v>
      </c>
      <c r="G402" s="1" t="str">
        <f>TEXT(RideData[[#This Row],[timestamp]],"hh:mm")</f>
        <v>11:50</v>
      </c>
    </row>
    <row r="403" spans="1:7">
      <c r="A403" s="1" t="s">
        <v>421</v>
      </c>
      <c r="B403" s="2">
        <v>46169.49305555555</v>
      </c>
      <c r="C403" s="1" t="s">
        <v>12</v>
      </c>
      <c r="D403" s="3">
        <v>1223.49</v>
      </c>
      <c r="E403" s="3">
        <v>4.54</v>
      </c>
      <c r="F403" s="1" t="s">
        <v>9</v>
      </c>
      <c r="G403" s="1" t="str">
        <f>TEXT(RideData[[#This Row],[timestamp]],"hh:mm")</f>
        <v>11:50</v>
      </c>
    </row>
    <row r="404" spans="1:7">
      <c r="A404" s="1" t="s">
        <v>422</v>
      </c>
      <c r="B404" s="2">
        <v>46169.49305555555</v>
      </c>
      <c r="C404" s="1" t="s">
        <v>21</v>
      </c>
      <c r="D404" s="3">
        <v>852.0599999999999</v>
      </c>
      <c r="E404" s="3">
        <v>5</v>
      </c>
      <c r="F404" s="1" t="s">
        <v>9</v>
      </c>
      <c r="G404" s="1" t="str">
        <f>TEXT(RideData[[#This Row],[timestamp]],"hh:mm")</f>
        <v>11:50</v>
      </c>
    </row>
    <row r="405" spans="1:7">
      <c r="A405" s="1" t="s">
        <v>423</v>
      </c>
      <c r="B405" s="2">
        <v>46169.49305555555</v>
      </c>
      <c r="C405" s="1" t="s">
        <v>19</v>
      </c>
      <c r="D405" s="3">
        <v>0</v>
      </c>
      <c r="E405" s="3">
        <v>3.16</v>
      </c>
      <c r="F405" s="1" t="s">
        <v>15</v>
      </c>
      <c r="G405" s="1" t="str">
        <f>TEXT(RideData[[#This Row],[timestamp]],"hh:mm")</f>
        <v>11:50</v>
      </c>
    </row>
    <row r="406" spans="1:7">
      <c r="A406" s="1" t="s">
        <v>424</v>
      </c>
      <c r="B406" s="2">
        <v>46169.49305555555</v>
      </c>
      <c r="C406" s="1" t="s">
        <v>12</v>
      </c>
      <c r="D406" s="3">
        <v>0</v>
      </c>
      <c r="E406" s="3">
        <v>3.99</v>
      </c>
      <c r="F406" s="1" t="s">
        <v>17</v>
      </c>
      <c r="G406" s="1" t="str">
        <f>TEXT(RideData[[#This Row],[timestamp]],"hh:mm")</f>
        <v>11:50</v>
      </c>
    </row>
    <row r="407" spans="1:7">
      <c r="A407" s="1" t="s">
        <v>425</v>
      </c>
      <c r="B407" s="2">
        <v>46169.49305555555</v>
      </c>
      <c r="C407" s="1" t="s">
        <v>21</v>
      </c>
      <c r="D407" s="3">
        <v>1400.77</v>
      </c>
      <c r="E407" s="3">
        <v>3.92</v>
      </c>
      <c r="F407" s="1" t="s">
        <v>9</v>
      </c>
      <c r="G407" s="1" t="str">
        <f>TEXT(RideData[[#This Row],[timestamp]],"hh:mm")</f>
        <v>11:50</v>
      </c>
    </row>
    <row r="408" spans="1:7">
      <c r="A408" s="1" t="s">
        <v>426</v>
      </c>
      <c r="B408" s="2">
        <v>46169.49305555555</v>
      </c>
      <c r="C408" s="1" t="s">
        <v>21</v>
      </c>
      <c r="D408" s="3">
        <v>1327.31</v>
      </c>
      <c r="E408" s="3">
        <v>3.28</v>
      </c>
      <c r="F408" s="1" t="s">
        <v>9</v>
      </c>
      <c r="G408" s="1" t="str">
        <f>TEXT(RideData[[#This Row],[timestamp]],"hh:mm")</f>
        <v>11:50</v>
      </c>
    </row>
    <row r="409" spans="1:7">
      <c r="A409" s="1" t="s">
        <v>427</v>
      </c>
      <c r="B409" s="2">
        <v>46169.49305555555</v>
      </c>
      <c r="C409" s="1" t="s">
        <v>8</v>
      </c>
      <c r="D409" s="3">
        <v>964.12</v>
      </c>
      <c r="E409" s="3">
        <v>3.4</v>
      </c>
      <c r="F409" s="1" t="s">
        <v>9</v>
      </c>
      <c r="G409" s="1" t="str">
        <f>TEXT(RideData[[#This Row],[timestamp]],"hh:mm")</f>
        <v>11:50</v>
      </c>
    </row>
    <row r="410" spans="1:7">
      <c r="A410" s="1" t="s">
        <v>428</v>
      </c>
      <c r="B410" s="2">
        <v>46169.49305555555</v>
      </c>
      <c r="C410" s="1" t="s">
        <v>8</v>
      </c>
      <c r="D410" s="3">
        <v>922.53</v>
      </c>
      <c r="E410" s="3">
        <v>4.08</v>
      </c>
      <c r="F410" s="1" t="s">
        <v>9</v>
      </c>
      <c r="G410" s="1" t="str">
        <f>TEXT(RideData[[#This Row],[timestamp]],"hh:mm")</f>
        <v>11:50</v>
      </c>
    </row>
    <row r="411" spans="1:7">
      <c r="A411" s="1" t="s">
        <v>429</v>
      </c>
      <c r="B411" s="2">
        <v>46169.49305555555</v>
      </c>
      <c r="C411" s="1" t="s">
        <v>21</v>
      </c>
      <c r="D411" s="3">
        <v>0</v>
      </c>
      <c r="E411" s="3">
        <v>4.14</v>
      </c>
      <c r="F411" s="1" t="s">
        <v>15</v>
      </c>
      <c r="G411" s="1" t="str">
        <f>TEXT(RideData[[#This Row],[timestamp]],"hh:mm")</f>
        <v>11:50</v>
      </c>
    </row>
    <row r="412" spans="1:7">
      <c r="A412" s="1" t="s">
        <v>430</v>
      </c>
      <c r="B412" s="2">
        <v>46169.49305555555</v>
      </c>
      <c r="C412" s="1" t="s">
        <v>8</v>
      </c>
      <c r="D412" s="3">
        <v>727.05</v>
      </c>
      <c r="E412" s="3">
        <v>3.59</v>
      </c>
      <c r="F412" s="1" t="s">
        <v>9</v>
      </c>
      <c r="G412" s="1" t="str">
        <f>TEXT(RideData[[#This Row],[timestamp]],"hh:mm")</f>
        <v>11:50</v>
      </c>
    </row>
    <row r="413" spans="1:7">
      <c r="A413" s="1" t="s">
        <v>431</v>
      </c>
      <c r="B413" s="2">
        <v>46169.49305555555</v>
      </c>
      <c r="C413" s="1" t="s">
        <v>12</v>
      </c>
      <c r="D413" s="3">
        <v>1162.99</v>
      </c>
      <c r="E413" s="3">
        <v>4.85</v>
      </c>
      <c r="F413" s="1" t="s">
        <v>9</v>
      </c>
      <c r="G413" s="1" t="str">
        <f>TEXT(RideData[[#This Row],[timestamp]],"hh:mm")</f>
        <v>11:50</v>
      </c>
    </row>
    <row r="414" spans="1:7">
      <c r="A414" s="1" t="s">
        <v>432</v>
      </c>
      <c r="B414" s="2">
        <v>46169.49305555555</v>
      </c>
      <c r="C414" s="1" t="s">
        <v>19</v>
      </c>
      <c r="D414" s="3">
        <v>1669.71</v>
      </c>
      <c r="E414" s="3">
        <v>4.57</v>
      </c>
      <c r="F414" s="1" t="s">
        <v>9</v>
      </c>
      <c r="G414" s="1" t="str">
        <f>TEXT(RideData[[#This Row],[timestamp]],"hh:mm")</f>
        <v>11:50</v>
      </c>
    </row>
    <row r="415" spans="1:7">
      <c r="A415" s="1" t="s">
        <v>433</v>
      </c>
      <c r="B415" s="2">
        <v>46169.49305555555</v>
      </c>
      <c r="C415" s="1" t="s">
        <v>8</v>
      </c>
      <c r="D415" s="3">
        <v>1124.45</v>
      </c>
      <c r="E415" s="3">
        <v>3.9</v>
      </c>
      <c r="F415" s="1" t="s">
        <v>9</v>
      </c>
      <c r="G415" s="1" t="str">
        <f>TEXT(RideData[[#This Row],[timestamp]],"hh:mm")</f>
        <v>11:50</v>
      </c>
    </row>
    <row r="416" spans="1:7">
      <c r="A416" s="1" t="s">
        <v>434</v>
      </c>
      <c r="B416" s="2">
        <v>46169.49305555555</v>
      </c>
      <c r="C416" s="1" t="s">
        <v>12</v>
      </c>
      <c r="D416" s="3">
        <v>2034.28</v>
      </c>
      <c r="E416" s="3">
        <v>4.05</v>
      </c>
      <c r="F416" s="1" t="s">
        <v>9</v>
      </c>
      <c r="G416" s="1" t="str">
        <f>TEXT(RideData[[#This Row],[timestamp]],"hh:mm")</f>
        <v>11:50</v>
      </c>
    </row>
    <row r="417" spans="1:7">
      <c r="A417" s="1" t="s">
        <v>435</v>
      </c>
      <c r="B417" s="2">
        <v>46169.49305555555</v>
      </c>
      <c r="C417" s="1" t="s">
        <v>21</v>
      </c>
      <c r="D417" s="3">
        <v>1545.87</v>
      </c>
      <c r="E417" s="3">
        <v>4.52</v>
      </c>
      <c r="F417" s="1" t="s">
        <v>9</v>
      </c>
      <c r="G417" s="1" t="str">
        <f>TEXT(RideData[[#This Row],[timestamp]],"hh:mm")</f>
        <v>11:50</v>
      </c>
    </row>
    <row r="418" spans="1:7">
      <c r="A418" s="1" t="s">
        <v>436</v>
      </c>
      <c r="B418" s="2">
        <v>46169.49305555555</v>
      </c>
      <c r="C418" s="1" t="s">
        <v>19</v>
      </c>
      <c r="D418" s="3">
        <v>2714.87</v>
      </c>
      <c r="E418" s="3">
        <v>3.03</v>
      </c>
      <c r="F418" s="1" t="s">
        <v>9</v>
      </c>
      <c r="G418" s="1" t="str">
        <f>TEXT(RideData[[#This Row],[timestamp]],"hh:mm")</f>
        <v>11:50</v>
      </c>
    </row>
    <row r="419" spans="1:7">
      <c r="A419" s="1" t="s">
        <v>437</v>
      </c>
      <c r="B419" s="2">
        <v>46169.49305555555</v>
      </c>
      <c r="C419" s="1" t="s">
        <v>21</v>
      </c>
      <c r="D419" s="3">
        <v>2569.1</v>
      </c>
      <c r="E419" s="3">
        <v>4.18</v>
      </c>
      <c r="F419" s="1" t="s">
        <v>9</v>
      </c>
      <c r="G419" s="1" t="str">
        <f>TEXT(RideData[[#This Row],[timestamp]],"hh:mm")</f>
        <v>11:50</v>
      </c>
    </row>
    <row r="420" spans="1:7">
      <c r="A420" s="1" t="s">
        <v>438</v>
      </c>
      <c r="B420" s="2">
        <v>46169.49305555555</v>
      </c>
      <c r="C420" s="1" t="s">
        <v>12</v>
      </c>
      <c r="D420" s="3">
        <v>2169.03</v>
      </c>
      <c r="E420" s="3">
        <v>3.5</v>
      </c>
      <c r="F420" s="1" t="s">
        <v>9</v>
      </c>
      <c r="G420" s="1" t="str">
        <f>TEXT(RideData[[#This Row],[timestamp]],"hh:mm")</f>
        <v>11:50</v>
      </c>
    </row>
    <row r="421" spans="1:7">
      <c r="A421" s="1" t="s">
        <v>439</v>
      </c>
      <c r="B421" s="2">
        <v>46169.49305555555</v>
      </c>
      <c r="C421" s="1" t="s">
        <v>12</v>
      </c>
      <c r="D421" s="3">
        <v>737.71</v>
      </c>
      <c r="E421" s="3">
        <v>3.92</v>
      </c>
      <c r="F421" s="1" t="s">
        <v>9</v>
      </c>
      <c r="G421" s="1" t="str">
        <f>TEXT(RideData[[#This Row],[timestamp]],"hh:mm")</f>
        <v>11:50</v>
      </c>
    </row>
    <row r="422" spans="1:7">
      <c r="A422" s="1" t="s">
        <v>440</v>
      </c>
      <c r="B422" s="2">
        <v>46169.49305555555</v>
      </c>
      <c r="C422" s="1" t="s">
        <v>21</v>
      </c>
      <c r="D422" s="3">
        <v>0</v>
      </c>
      <c r="F422" s="1" t="s">
        <v>15</v>
      </c>
      <c r="G422" s="1" t="str">
        <f>TEXT(RideData[[#This Row],[timestamp]],"hh:mm")</f>
        <v>11:50</v>
      </c>
    </row>
    <row r="423" spans="1:7">
      <c r="A423" s="1" t="s">
        <v>441</v>
      </c>
      <c r="B423" s="2">
        <v>46169.49305555555</v>
      </c>
      <c r="C423" s="1" t="s">
        <v>12</v>
      </c>
      <c r="D423" s="3">
        <v>1754.36</v>
      </c>
      <c r="E423" s="3">
        <v>4.1</v>
      </c>
      <c r="F423" s="1" t="s">
        <v>9</v>
      </c>
      <c r="G423" s="1" t="str">
        <f>TEXT(RideData[[#This Row],[timestamp]],"hh:mm")</f>
        <v>11:50</v>
      </c>
    </row>
    <row r="424" spans="1:7">
      <c r="A424" s="1" t="s">
        <v>442</v>
      </c>
      <c r="B424" s="2">
        <v>46169.49305555555</v>
      </c>
      <c r="C424" s="1" t="s">
        <v>12</v>
      </c>
      <c r="D424" s="3">
        <v>0</v>
      </c>
      <c r="E424" s="3">
        <v>3.76</v>
      </c>
      <c r="F424" s="1" t="s">
        <v>15</v>
      </c>
      <c r="G424" s="1" t="str">
        <f>TEXT(RideData[[#This Row],[timestamp]],"hh:mm")</f>
        <v>11:50</v>
      </c>
    </row>
    <row r="425" spans="1:7">
      <c r="A425" s="1" t="s">
        <v>443</v>
      </c>
      <c r="B425" s="2">
        <v>46169.49305555555</v>
      </c>
      <c r="C425" s="1" t="s">
        <v>12</v>
      </c>
      <c r="D425" s="3">
        <v>697.74</v>
      </c>
      <c r="E425" s="3">
        <v>4.25</v>
      </c>
      <c r="F425" s="1" t="s">
        <v>9</v>
      </c>
      <c r="G425" s="1" t="str">
        <f>TEXT(RideData[[#This Row],[timestamp]],"hh:mm")</f>
        <v>11:50</v>
      </c>
    </row>
    <row r="426" spans="1:7">
      <c r="A426" s="1" t="s">
        <v>444</v>
      </c>
      <c r="B426" s="2">
        <v>46169.49305555555</v>
      </c>
      <c r="C426" s="1" t="s">
        <v>21</v>
      </c>
      <c r="D426" s="3">
        <v>0</v>
      </c>
      <c r="E426" s="3">
        <v>2.4</v>
      </c>
      <c r="F426" s="1" t="s">
        <v>15</v>
      </c>
      <c r="G426" s="1" t="str">
        <f>TEXT(RideData[[#This Row],[timestamp]],"hh:mm")</f>
        <v>11:50</v>
      </c>
    </row>
    <row r="427" spans="1:7">
      <c r="A427" s="1" t="s">
        <v>445</v>
      </c>
      <c r="B427" s="2">
        <v>46169.49305555555</v>
      </c>
      <c r="C427" s="1" t="s">
        <v>21</v>
      </c>
      <c r="D427" s="3">
        <v>2022.15</v>
      </c>
      <c r="E427" s="3">
        <v>3.79</v>
      </c>
      <c r="F427" s="1" t="s">
        <v>9</v>
      </c>
      <c r="G427" s="1" t="str">
        <f>TEXT(RideData[[#This Row],[timestamp]],"hh:mm")</f>
        <v>11:50</v>
      </c>
    </row>
    <row r="428" spans="1:7">
      <c r="A428" s="1" t="s">
        <v>446</v>
      </c>
      <c r="B428" s="2">
        <v>46169.49305555555</v>
      </c>
      <c r="C428" s="1" t="s">
        <v>19</v>
      </c>
      <c r="D428" s="3">
        <v>686.78</v>
      </c>
      <c r="E428" s="3">
        <v>4.32</v>
      </c>
      <c r="F428" s="1" t="s">
        <v>9</v>
      </c>
      <c r="G428" s="1" t="str">
        <f>TEXT(RideData[[#This Row],[timestamp]],"hh:mm")</f>
        <v>11:50</v>
      </c>
    </row>
    <row r="429" spans="1:7">
      <c r="A429" s="1" t="s">
        <v>447</v>
      </c>
      <c r="B429" s="2">
        <v>46169.49305555555</v>
      </c>
      <c r="C429" s="1" t="s">
        <v>12</v>
      </c>
      <c r="D429" s="3">
        <v>623.46</v>
      </c>
      <c r="E429" s="3">
        <v>4.61</v>
      </c>
      <c r="F429" s="1" t="s">
        <v>9</v>
      </c>
      <c r="G429" s="1" t="str">
        <f>TEXT(RideData[[#This Row],[timestamp]],"hh:mm")</f>
        <v>11:50</v>
      </c>
    </row>
    <row r="430" spans="1:7">
      <c r="A430" s="1" t="s">
        <v>448</v>
      </c>
      <c r="B430" s="2">
        <v>46169.49305555555</v>
      </c>
      <c r="C430" s="1" t="s">
        <v>12</v>
      </c>
      <c r="D430" s="3">
        <v>1491.95</v>
      </c>
      <c r="F430" s="1" t="s">
        <v>9</v>
      </c>
      <c r="G430" s="1" t="str">
        <f>TEXT(RideData[[#This Row],[timestamp]],"hh:mm")</f>
        <v>11:50</v>
      </c>
    </row>
    <row r="431" spans="1:7">
      <c r="A431" s="1" t="s">
        <v>449</v>
      </c>
      <c r="B431" s="2">
        <v>46169.49305555555</v>
      </c>
      <c r="C431" s="1" t="s">
        <v>8</v>
      </c>
      <c r="D431" s="3">
        <v>899.1900000000001</v>
      </c>
      <c r="E431" s="3">
        <v>4.32</v>
      </c>
      <c r="F431" s="1" t="s">
        <v>9</v>
      </c>
      <c r="G431" s="1" t="str">
        <f>TEXT(RideData[[#This Row],[timestamp]],"hh:mm")</f>
        <v>11:50</v>
      </c>
    </row>
    <row r="432" spans="1:7">
      <c r="A432" s="1" t="s">
        <v>450</v>
      </c>
      <c r="B432" s="2">
        <v>46169.49305555555</v>
      </c>
      <c r="C432" s="1" t="s">
        <v>8</v>
      </c>
      <c r="D432" s="3">
        <v>2847.59</v>
      </c>
      <c r="E432" s="3">
        <v>3.43</v>
      </c>
      <c r="F432" s="1" t="s">
        <v>9</v>
      </c>
      <c r="G432" s="1" t="str">
        <f>TEXT(RideData[[#This Row],[timestamp]],"hh:mm")</f>
        <v>11:50</v>
      </c>
    </row>
    <row r="433" spans="1:7">
      <c r="A433" s="1" t="s">
        <v>451</v>
      </c>
      <c r="B433" s="2">
        <v>46169.49305555555</v>
      </c>
      <c r="C433" s="1" t="s">
        <v>19</v>
      </c>
      <c r="D433" s="3">
        <v>1237.32</v>
      </c>
      <c r="E433" s="3">
        <v>4.23</v>
      </c>
      <c r="F433" s="1" t="s">
        <v>9</v>
      </c>
      <c r="G433" s="1" t="str">
        <f>TEXT(RideData[[#This Row],[timestamp]],"hh:mm")</f>
        <v>11:50</v>
      </c>
    </row>
    <row r="434" spans="1:7">
      <c r="A434" s="1" t="s">
        <v>452</v>
      </c>
      <c r="B434" s="2">
        <v>46169.49305555555</v>
      </c>
      <c r="C434" s="1" t="s">
        <v>19</v>
      </c>
      <c r="D434" s="3">
        <v>1369.08</v>
      </c>
      <c r="F434" s="1" t="s">
        <v>9</v>
      </c>
      <c r="G434" s="1" t="str">
        <f>TEXT(RideData[[#This Row],[timestamp]],"hh:mm")</f>
        <v>11:50</v>
      </c>
    </row>
    <row r="435" spans="1:7">
      <c r="A435" s="1" t="s">
        <v>453</v>
      </c>
      <c r="B435" s="2">
        <v>46169.49305555555</v>
      </c>
      <c r="C435" s="1" t="s">
        <v>12</v>
      </c>
      <c r="D435" s="3">
        <v>0</v>
      </c>
      <c r="E435" s="3">
        <v>4</v>
      </c>
      <c r="F435" s="1" t="s">
        <v>15</v>
      </c>
      <c r="G435" s="1" t="str">
        <f>TEXT(RideData[[#This Row],[timestamp]],"hh:mm")</f>
        <v>11:50</v>
      </c>
    </row>
    <row r="436" spans="1:7">
      <c r="A436" s="1" t="s">
        <v>454</v>
      </c>
      <c r="B436" s="2">
        <v>46169.49305555555</v>
      </c>
      <c r="C436" s="1" t="s">
        <v>12</v>
      </c>
      <c r="D436" s="3">
        <v>0</v>
      </c>
      <c r="E436" s="3">
        <v>4.06</v>
      </c>
      <c r="F436" s="1" t="s">
        <v>15</v>
      </c>
      <c r="G436" s="1" t="str">
        <f>TEXT(RideData[[#This Row],[timestamp]],"hh:mm")</f>
        <v>11:50</v>
      </c>
    </row>
    <row r="437" spans="1:7">
      <c r="A437" s="1" t="s">
        <v>455</v>
      </c>
      <c r="B437" s="2">
        <v>46169.49652777778</v>
      </c>
      <c r="C437" s="1" t="s">
        <v>8</v>
      </c>
      <c r="D437" s="3">
        <v>0</v>
      </c>
      <c r="E437" s="3">
        <v>3.43</v>
      </c>
      <c r="F437" s="1" t="s">
        <v>15</v>
      </c>
      <c r="G437" s="1" t="str">
        <f>TEXT(RideData[[#This Row],[timestamp]],"hh:mm")</f>
        <v>11:55</v>
      </c>
    </row>
    <row r="438" spans="1:7">
      <c r="A438" s="1" t="s">
        <v>457</v>
      </c>
      <c r="B438" s="2">
        <v>46169.49652777778</v>
      </c>
      <c r="C438" s="1" t="s">
        <v>12</v>
      </c>
      <c r="D438" s="3">
        <v>2554.8</v>
      </c>
      <c r="E438" s="3">
        <v>3.17</v>
      </c>
      <c r="F438" s="1" t="s">
        <v>9</v>
      </c>
      <c r="G438" s="1" t="str">
        <f>TEXT(RideData[[#This Row],[timestamp]],"hh:mm")</f>
        <v>11:55</v>
      </c>
    </row>
    <row r="439" spans="1:7">
      <c r="A439" s="1" t="s">
        <v>458</v>
      </c>
      <c r="B439" s="2">
        <v>46169.49652777778</v>
      </c>
      <c r="C439" s="1" t="s">
        <v>12</v>
      </c>
      <c r="D439" s="3">
        <v>1460.1</v>
      </c>
      <c r="E439" s="3">
        <v>4.48</v>
      </c>
      <c r="F439" s="1" t="s">
        <v>9</v>
      </c>
      <c r="G439" s="1" t="str">
        <f>TEXT(RideData[[#This Row],[timestamp]],"hh:mm")</f>
        <v>11:55</v>
      </c>
    </row>
    <row r="440" spans="1:7">
      <c r="A440" s="1" t="s">
        <v>459</v>
      </c>
      <c r="B440" s="2">
        <v>46169.49652777778</v>
      </c>
      <c r="C440" s="1" t="s">
        <v>21</v>
      </c>
      <c r="D440" s="3">
        <v>0</v>
      </c>
      <c r="E440" s="3">
        <v>4.12</v>
      </c>
      <c r="F440" s="1" t="s">
        <v>15</v>
      </c>
      <c r="G440" s="1" t="str">
        <f>TEXT(RideData[[#This Row],[timestamp]],"hh:mm")</f>
        <v>11:55</v>
      </c>
    </row>
    <row r="441" spans="1:7">
      <c r="A441" s="1" t="s">
        <v>460</v>
      </c>
      <c r="B441" s="2">
        <v>46169.49652777778</v>
      </c>
      <c r="C441" s="1" t="s">
        <v>8</v>
      </c>
      <c r="D441" s="3">
        <v>1686</v>
      </c>
      <c r="E441" s="3">
        <v>4.33</v>
      </c>
      <c r="F441" s="1" t="s">
        <v>9</v>
      </c>
      <c r="G441" s="1" t="str">
        <f>TEXT(RideData[[#This Row],[timestamp]],"hh:mm")</f>
        <v>11:55</v>
      </c>
    </row>
    <row r="442" spans="1:7">
      <c r="A442" s="1" t="s">
        <v>461</v>
      </c>
      <c r="B442" s="2">
        <v>46169.49652777778</v>
      </c>
      <c r="C442" s="1" t="s">
        <v>21</v>
      </c>
      <c r="D442" s="3">
        <v>1331.84</v>
      </c>
      <c r="E442" s="3">
        <v>3.05</v>
      </c>
      <c r="F442" s="1" t="s">
        <v>9</v>
      </c>
      <c r="G442" s="1" t="str">
        <f>TEXT(RideData[[#This Row],[timestamp]],"hh:mm")</f>
        <v>11:55</v>
      </c>
    </row>
    <row r="443" spans="1:7">
      <c r="A443" s="1" t="s">
        <v>462</v>
      </c>
      <c r="B443" s="2">
        <v>46169.49652777778</v>
      </c>
      <c r="C443" s="1" t="s">
        <v>19</v>
      </c>
      <c r="D443" s="3">
        <v>0</v>
      </c>
      <c r="E443" s="3">
        <v>4.75</v>
      </c>
      <c r="F443" s="1" t="s">
        <v>17</v>
      </c>
      <c r="G443" s="1" t="str">
        <f>TEXT(RideData[[#This Row],[timestamp]],"hh:mm")</f>
        <v>11:55</v>
      </c>
    </row>
    <row r="444" spans="1:7">
      <c r="A444" s="1" t="s">
        <v>463</v>
      </c>
      <c r="B444" s="2">
        <v>46169.49652777778</v>
      </c>
      <c r="C444" s="1" t="s">
        <v>21</v>
      </c>
      <c r="D444" s="3">
        <v>3087.13</v>
      </c>
      <c r="E444" s="3">
        <v>4.04</v>
      </c>
      <c r="F444" s="1" t="s">
        <v>9</v>
      </c>
      <c r="G444" s="1" t="str">
        <f>TEXT(RideData[[#This Row],[timestamp]],"hh:mm")</f>
        <v>11:55</v>
      </c>
    </row>
    <row r="445" spans="1:7">
      <c r="A445" s="1" t="s">
        <v>464</v>
      </c>
      <c r="B445" s="2">
        <v>46169.49652777778</v>
      </c>
      <c r="C445" s="1" t="s">
        <v>8</v>
      </c>
      <c r="D445" s="3">
        <v>0</v>
      </c>
      <c r="E445" s="3">
        <v>4.51</v>
      </c>
      <c r="F445" s="1" t="s">
        <v>15</v>
      </c>
      <c r="G445" s="1" t="str">
        <f>TEXT(RideData[[#This Row],[timestamp]],"hh:mm")</f>
        <v>11:55</v>
      </c>
    </row>
    <row r="446" spans="1:7">
      <c r="A446" s="1" t="s">
        <v>465</v>
      </c>
      <c r="B446" s="2">
        <v>46169.49652777778</v>
      </c>
      <c r="C446" s="1" t="s">
        <v>12</v>
      </c>
      <c r="D446" s="3">
        <v>0</v>
      </c>
      <c r="E446" s="3">
        <v>3.75</v>
      </c>
      <c r="F446" s="1" t="s">
        <v>17</v>
      </c>
      <c r="G446" s="1" t="str">
        <f>TEXT(RideData[[#This Row],[timestamp]],"hh:mm")</f>
        <v>11:55</v>
      </c>
    </row>
    <row r="447" spans="1:7">
      <c r="A447" s="1" t="s">
        <v>466</v>
      </c>
      <c r="B447" s="2">
        <v>46169.49652777778</v>
      </c>
      <c r="C447" s="1" t="s">
        <v>12</v>
      </c>
      <c r="D447" s="3">
        <v>1062.1</v>
      </c>
      <c r="E447" s="3">
        <v>3.46</v>
      </c>
      <c r="F447" s="1" t="s">
        <v>9</v>
      </c>
      <c r="G447" s="1" t="str">
        <f>TEXT(RideData[[#This Row],[timestamp]],"hh:mm")</f>
        <v>11:55</v>
      </c>
    </row>
    <row r="448" spans="1:7">
      <c r="A448" s="1" t="s">
        <v>467</v>
      </c>
      <c r="B448" s="2">
        <v>46169.49652777778</v>
      </c>
      <c r="C448" s="1" t="s">
        <v>12</v>
      </c>
      <c r="D448" s="3">
        <v>986.09</v>
      </c>
      <c r="E448" s="3">
        <v>4.1</v>
      </c>
      <c r="F448" s="1" t="s">
        <v>9</v>
      </c>
      <c r="G448" s="1" t="str">
        <f>TEXT(RideData[[#This Row],[timestamp]],"hh:mm")</f>
        <v>11:55</v>
      </c>
    </row>
    <row r="449" spans="1:7">
      <c r="A449" s="1" t="s">
        <v>468</v>
      </c>
      <c r="B449" s="2">
        <v>46169.49652777778</v>
      </c>
      <c r="C449" s="1" t="s">
        <v>12</v>
      </c>
      <c r="D449" s="3">
        <v>1058.72</v>
      </c>
      <c r="E449" s="3">
        <v>3.72</v>
      </c>
      <c r="F449" s="1" t="s">
        <v>9</v>
      </c>
      <c r="G449" s="1" t="str">
        <f>TEXT(RideData[[#This Row],[timestamp]],"hh:mm")</f>
        <v>11:55</v>
      </c>
    </row>
    <row r="450" spans="1:7">
      <c r="A450" s="1" t="s">
        <v>469</v>
      </c>
      <c r="B450" s="2">
        <v>46169.49652777778</v>
      </c>
      <c r="C450" s="1" t="s">
        <v>8</v>
      </c>
      <c r="D450" s="3">
        <v>2550.71</v>
      </c>
      <c r="E450" s="3">
        <v>3.45</v>
      </c>
      <c r="F450" s="1" t="s">
        <v>9</v>
      </c>
      <c r="G450" s="1" t="str">
        <f>TEXT(RideData[[#This Row],[timestamp]],"hh:mm")</f>
        <v>11:55</v>
      </c>
    </row>
    <row r="451" spans="1:7">
      <c r="A451" s="1" t="s">
        <v>470</v>
      </c>
      <c r="B451" s="2">
        <v>46169.49652777778</v>
      </c>
      <c r="C451" s="1" t="s">
        <v>8</v>
      </c>
      <c r="D451" s="3">
        <v>0</v>
      </c>
      <c r="E451" s="3">
        <v>3.74</v>
      </c>
      <c r="F451" s="1" t="s">
        <v>15</v>
      </c>
      <c r="G451" s="1" t="str">
        <f>TEXT(RideData[[#This Row],[timestamp]],"hh:mm")</f>
        <v>11:55</v>
      </c>
    </row>
    <row r="452" spans="1:7">
      <c r="A452" s="1" t="s">
        <v>471</v>
      </c>
      <c r="B452" s="2">
        <v>46169.49652777778</v>
      </c>
      <c r="C452" s="1" t="s">
        <v>19</v>
      </c>
      <c r="D452" s="3">
        <v>541.71</v>
      </c>
      <c r="E452" s="3">
        <v>3.13</v>
      </c>
      <c r="F452" s="1" t="s">
        <v>9</v>
      </c>
      <c r="G452" s="1" t="str">
        <f>TEXT(RideData[[#This Row],[timestamp]],"hh:mm")</f>
        <v>11:55</v>
      </c>
    </row>
    <row r="453" spans="1:7">
      <c r="A453" s="1" t="s">
        <v>472</v>
      </c>
      <c r="B453" s="2">
        <v>46169.49652777778</v>
      </c>
      <c r="C453" s="1" t="s">
        <v>21</v>
      </c>
      <c r="D453" s="3">
        <v>1084.1</v>
      </c>
      <c r="E453" s="3">
        <v>3.88</v>
      </c>
      <c r="F453" s="1" t="s">
        <v>9</v>
      </c>
      <c r="G453" s="1" t="str">
        <f>TEXT(RideData[[#This Row],[timestamp]],"hh:mm")</f>
        <v>11:55</v>
      </c>
    </row>
    <row r="454" spans="1:7">
      <c r="A454" s="1" t="s">
        <v>473</v>
      </c>
      <c r="B454" s="2">
        <v>46169.49652777778</v>
      </c>
      <c r="C454" s="1" t="s">
        <v>8</v>
      </c>
      <c r="D454" s="3">
        <v>0</v>
      </c>
      <c r="E454" s="3">
        <v>4.17</v>
      </c>
      <c r="F454" s="1" t="s">
        <v>15</v>
      </c>
      <c r="G454" s="1" t="str">
        <f>TEXT(RideData[[#This Row],[timestamp]],"hh:mm")</f>
        <v>11:55</v>
      </c>
    </row>
    <row r="455" spans="1:7">
      <c r="A455" s="1" t="s">
        <v>474</v>
      </c>
      <c r="B455" s="2">
        <v>46169.49652777778</v>
      </c>
      <c r="C455" s="1" t="s">
        <v>12</v>
      </c>
      <c r="D455" s="3">
        <v>0</v>
      </c>
      <c r="E455" s="3">
        <v>3.3</v>
      </c>
      <c r="F455" s="1" t="s">
        <v>15</v>
      </c>
      <c r="G455" s="1" t="str">
        <f>TEXT(RideData[[#This Row],[timestamp]],"hh:mm")</f>
        <v>11:55</v>
      </c>
    </row>
    <row r="456" spans="1:7">
      <c r="A456" s="1" t="s">
        <v>475</v>
      </c>
      <c r="B456" s="2">
        <v>46169.49652777778</v>
      </c>
      <c r="C456" s="1" t="s">
        <v>19</v>
      </c>
      <c r="D456" s="3">
        <v>1345.72</v>
      </c>
      <c r="E456" s="3">
        <v>4.5</v>
      </c>
      <c r="F456" s="1" t="s">
        <v>9</v>
      </c>
      <c r="G456" s="1" t="str">
        <f>TEXT(RideData[[#This Row],[timestamp]],"hh:mm")</f>
        <v>11:55</v>
      </c>
    </row>
    <row r="457" spans="1:7">
      <c r="A457" s="1" t="s">
        <v>476</v>
      </c>
      <c r="B457" s="2">
        <v>46169.49652777778</v>
      </c>
      <c r="C457" s="1" t="s">
        <v>8</v>
      </c>
      <c r="D457" s="3">
        <v>504.19</v>
      </c>
      <c r="E457" s="3">
        <v>4.33</v>
      </c>
      <c r="F457" s="1" t="s">
        <v>9</v>
      </c>
      <c r="G457" s="1" t="str">
        <f>TEXT(RideData[[#This Row],[timestamp]],"hh:mm")</f>
        <v>11:55</v>
      </c>
    </row>
    <row r="458" spans="1:7">
      <c r="A458" s="1" t="s">
        <v>477</v>
      </c>
      <c r="B458" s="2">
        <v>46169.49652777778</v>
      </c>
      <c r="C458" s="1" t="s">
        <v>8</v>
      </c>
      <c r="D458" s="3">
        <v>0</v>
      </c>
      <c r="E458" s="3">
        <v>4.52</v>
      </c>
      <c r="F458" s="1" t="s">
        <v>15</v>
      </c>
      <c r="G458" s="1" t="str">
        <f>TEXT(RideData[[#This Row],[timestamp]],"hh:mm")</f>
        <v>11:55</v>
      </c>
    </row>
    <row r="459" spans="1:7">
      <c r="A459" s="1" t="s">
        <v>478</v>
      </c>
      <c r="B459" s="2">
        <v>46169.49652777778</v>
      </c>
      <c r="C459" s="1" t="s">
        <v>12</v>
      </c>
      <c r="D459" s="3">
        <v>2963.55</v>
      </c>
      <c r="E459" s="3">
        <v>4.02</v>
      </c>
      <c r="F459" s="1" t="s">
        <v>9</v>
      </c>
      <c r="G459" s="1" t="str">
        <f>TEXT(RideData[[#This Row],[timestamp]],"hh:mm")</f>
        <v>11:55</v>
      </c>
    </row>
    <row r="460" spans="1:7">
      <c r="A460" s="1" t="s">
        <v>479</v>
      </c>
      <c r="B460" s="2">
        <v>46169.49652777778</v>
      </c>
      <c r="C460" s="1" t="s">
        <v>21</v>
      </c>
      <c r="D460" s="3">
        <v>0</v>
      </c>
      <c r="E460" s="3">
        <v>4.28</v>
      </c>
      <c r="F460" s="1" t="s">
        <v>15</v>
      </c>
      <c r="G460" s="1" t="str">
        <f>TEXT(RideData[[#This Row],[timestamp]],"hh:mm")</f>
        <v>11:55</v>
      </c>
    </row>
    <row r="461" spans="1:7">
      <c r="A461" s="1" t="s">
        <v>480</v>
      </c>
      <c r="B461" s="2">
        <v>46169.49652777778</v>
      </c>
      <c r="C461" s="1" t="s">
        <v>19</v>
      </c>
      <c r="D461" s="3">
        <v>0</v>
      </c>
      <c r="E461" s="3">
        <v>4.21</v>
      </c>
      <c r="F461" s="1" t="s">
        <v>17</v>
      </c>
      <c r="G461" s="1" t="str">
        <f>TEXT(RideData[[#This Row],[timestamp]],"hh:mm")</f>
        <v>11:55</v>
      </c>
    </row>
    <row r="462" spans="1:7">
      <c r="A462" s="1" t="s">
        <v>481</v>
      </c>
      <c r="B462" s="2">
        <v>46169.49652777778</v>
      </c>
      <c r="C462" s="1" t="s">
        <v>21</v>
      </c>
      <c r="D462" s="3">
        <v>1795.04</v>
      </c>
      <c r="E462" s="3">
        <v>4.74</v>
      </c>
      <c r="F462" s="1" t="s">
        <v>9</v>
      </c>
      <c r="G462" s="1" t="str">
        <f>TEXT(RideData[[#This Row],[timestamp]],"hh:mm")</f>
        <v>11:55</v>
      </c>
    </row>
    <row r="463" spans="1:7">
      <c r="A463" s="1" t="s">
        <v>482</v>
      </c>
      <c r="B463" s="2">
        <v>46169.49652777778</v>
      </c>
      <c r="C463" s="1" t="s">
        <v>19</v>
      </c>
      <c r="D463" s="3">
        <v>1582.24</v>
      </c>
      <c r="E463" s="3">
        <v>4.19</v>
      </c>
      <c r="F463" s="1" t="s">
        <v>9</v>
      </c>
      <c r="G463" s="1" t="str">
        <f>TEXT(RideData[[#This Row],[timestamp]],"hh:mm")</f>
        <v>11:55</v>
      </c>
    </row>
    <row r="464" spans="1:7">
      <c r="A464" s="1" t="s">
        <v>483</v>
      </c>
      <c r="B464" s="2">
        <v>46169.49652777778</v>
      </c>
      <c r="C464" s="1" t="s">
        <v>12</v>
      </c>
      <c r="D464" s="3">
        <v>0</v>
      </c>
      <c r="E464" s="3">
        <v>4.07</v>
      </c>
      <c r="F464" s="1" t="s">
        <v>15</v>
      </c>
      <c r="G464" s="1" t="str">
        <f>TEXT(RideData[[#This Row],[timestamp]],"hh:mm")</f>
        <v>11:55</v>
      </c>
    </row>
    <row r="465" spans="1:7">
      <c r="A465" s="1" t="s">
        <v>484</v>
      </c>
      <c r="B465" s="2">
        <v>46169.49652777778</v>
      </c>
      <c r="C465" s="1" t="s">
        <v>12</v>
      </c>
      <c r="D465" s="3">
        <v>1549.13</v>
      </c>
      <c r="E465" s="3">
        <v>3.57</v>
      </c>
      <c r="F465" s="1" t="s">
        <v>9</v>
      </c>
      <c r="G465" s="1" t="str">
        <f>TEXT(RideData[[#This Row],[timestamp]],"hh:mm")</f>
        <v>11:55</v>
      </c>
    </row>
    <row r="466" spans="1:7">
      <c r="A466" s="1" t="s">
        <v>485</v>
      </c>
      <c r="B466" s="2">
        <v>46169.49652777778</v>
      </c>
      <c r="C466" s="1" t="s">
        <v>21</v>
      </c>
      <c r="D466" s="3">
        <v>0</v>
      </c>
      <c r="E466" s="3">
        <v>3.68</v>
      </c>
      <c r="F466" s="1" t="s">
        <v>15</v>
      </c>
      <c r="G466" s="1" t="str">
        <f>TEXT(RideData[[#This Row],[timestamp]],"hh:mm")</f>
        <v>11:55</v>
      </c>
    </row>
    <row r="467" spans="1:7">
      <c r="A467" s="1" t="s">
        <v>486</v>
      </c>
      <c r="B467" s="2">
        <v>46169.49652777778</v>
      </c>
      <c r="C467" s="1" t="s">
        <v>12</v>
      </c>
      <c r="D467" s="3">
        <v>1218.57</v>
      </c>
      <c r="E467" s="3">
        <v>4.63</v>
      </c>
      <c r="F467" s="1" t="s">
        <v>9</v>
      </c>
      <c r="G467" s="1" t="str">
        <f>TEXT(RideData[[#This Row],[timestamp]],"hh:mm")</f>
        <v>11:55</v>
      </c>
    </row>
    <row r="468" spans="1:7">
      <c r="A468" s="1" t="s">
        <v>487</v>
      </c>
      <c r="B468" s="2">
        <v>46169.49652777778</v>
      </c>
      <c r="C468" s="1" t="s">
        <v>12</v>
      </c>
      <c r="D468" s="3">
        <v>1863.03</v>
      </c>
      <c r="E468" s="3">
        <v>3.54</v>
      </c>
      <c r="F468" s="1" t="s">
        <v>9</v>
      </c>
      <c r="G468" s="1" t="str">
        <f>TEXT(RideData[[#This Row],[timestamp]],"hh:mm")</f>
        <v>11:55</v>
      </c>
    </row>
    <row r="469" spans="1:7">
      <c r="A469" s="1" t="s">
        <v>488</v>
      </c>
      <c r="B469" s="2">
        <v>46169.49652777778</v>
      </c>
      <c r="C469" s="1" t="s">
        <v>12</v>
      </c>
      <c r="D469" s="3">
        <v>769.79</v>
      </c>
      <c r="E469" s="3">
        <v>3.8</v>
      </c>
      <c r="F469" s="1" t="s">
        <v>9</v>
      </c>
      <c r="G469" s="1" t="str">
        <f>TEXT(RideData[[#This Row],[timestamp]],"hh:mm")</f>
        <v>11:55</v>
      </c>
    </row>
    <row r="470" spans="1:7">
      <c r="A470" s="1" t="s">
        <v>489</v>
      </c>
      <c r="B470" s="2">
        <v>46169.49652777778</v>
      </c>
      <c r="C470" s="1" t="s">
        <v>21</v>
      </c>
      <c r="D470" s="3">
        <v>1910.45</v>
      </c>
      <c r="E470" s="3">
        <v>4.24</v>
      </c>
      <c r="F470" s="1" t="s">
        <v>9</v>
      </c>
      <c r="G470" s="1" t="str">
        <f>TEXT(RideData[[#This Row],[timestamp]],"hh:mm")</f>
        <v>11:55</v>
      </c>
    </row>
    <row r="471" spans="1:7">
      <c r="A471" s="1" t="s">
        <v>490</v>
      </c>
      <c r="B471" s="2">
        <v>46169.49652777778</v>
      </c>
      <c r="C471" s="1" t="s">
        <v>8</v>
      </c>
      <c r="D471" s="3">
        <v>0</v>
      </c>
      <c r="E471" s="3">
        <v>4.41</v>
      </c>
      <c r="F471" s="1" t="s">
        <v>17</v>
      </c>
      <c r="G471" s="1" t="str">
        <f>TEXT(RideData[[#This Row],[timestamp]],"hh:mm")</f>
        <v>11:55</v>
      </c>
    </row>
    <row r="472" spans="1:7">
      <c r="A472" s="1" t="s">
        <v>491</v>
      </c>
      <c r="B472" s="2">
        <v>46169.49652777778</v>
      </c>
      <c r="C472" s="1" t="s">
        <v>19</v>
      </c>
      <c r="D472" s="3">
        <v>2519.59</v>
      </c>
      <c r="E472" s="3">
        <v>3.78</v>
      </c>
      <c r="F472" s="1" t="s">
        <v>9</v>
      </c>
      <c r="G472" s="1" t="str">
        <f>TEXT(RideData[[#This Row],[timestamp]],"hh:mm")</f>
        <v>11:55</v>
      </c>
    </row>
    <row r="473" spans="1:7">
      <c r="A473" s="1" t="s">
        <v>492</v>
      </c>
      <c r="B473" s="2">
        <v>46169.49652777778</v>
      </c>
      <c r="C473" s="1" t="s">
        <v>8</v>
      </c>
      <c r="D473" s="3">
        <v>1837.88</v>
      </c>
      <c r="E473" s="3">
        <v>4.7</v>
      </c>
      <c r="F473" s="1" t="s">
        <v>9</v>
      </c>
      <c r="G473" s="1" t="str">
        <f>TEXT(RideData[[#This Row],[timestamp]],"hh:mm")</f>
        <v>11:55</v>
      </c>
    </row>
    <row r="474" spans="1:7">
      <c r="A474" s="1" t="s">
        <v>493</v>
      </c>
      <c r="B474" s="2">
        <v>46169.49652777778</v>
      </c>
      <c r="C474" s="1" t="s">
        <v>12</v>
      </c>
      <c r="D474" s="3">
        <v>1970.71</v>
      </c>
      <c r="E474" s="3">
        <v>4.17</v>
      </c>
      <c r="F474" s="1" t="s">
        <v>9</v>
      </c>
      <c r="G474" s="1" t="str">
        <f>TEXT(RideData[[#This Row],[timestamp]],"hh:mm")</f>
        <v>11:55</v>
      </c>
    </row>
    <row r="475" spans="1:7">
      <c r="A475" s="1" t="s">
        <v>494</v>
      </c>
      <c r="B475" s="2">
        <v>46169.49652777778</v>
      </c>
      <c r="C475" s="1" t="s">
        <v>12</v>
      </c>
      <c r="D475" s="3">
        <v>0</v>
      </c>
      <c r="F475" s="1" t="s">
        <v>15</v>
      </c>
      <c r="G475" s="1" t="str">
        <f>TEXT(RideData[[#This Row],[timestamp]],"hh:mm")</f>
        <v>11:55</v>
      </c>
    </row>
    <row r="476" spans="1:7">
      <c r="A476" s="1" t="s">
        <v>495</v>
      </c>
      <c r="B476" s="2">
        <v>46169.49652777778</v>
      </c>
      <c r="C476" s="1" t="s">
        <v>21</v>
      </c>
      <c r="D476" s="3">
        <v>3067.29</v>
      </c>
      <c r="F476" s="1" t="s">
        <v>9</v>
      </c>
      <c r="G476" s="1" t="str">
        <f>TEXT(RideData[[#This Row],[timestamp]],"hh:mm")</f>
        <v>11:55</v>
      </c>
    </row>
    <row r="477" spans="1:7">
      <c r="A477" s="1" t="s">
        <v>496</v>
      </c>
      <c r="B477" s="2">
        <v>46169.49652777778</v>
      </c>
      <c r="C477" s="1" t="s">
        <v>8</v>
      </c>
      <c r="D477" s="3">
        <v>0</v>
      </c>
      <c r="E477" s="3">
        <v>4.26</v>
      </c>
      <c r="F477" s="1" t="s">
        <v>15</v>
      </c>
      <c r="G477" s="1" t="str">
        <f>TEXT(RideData[[#This Row],[timestamp]],"hh:mm")</f>
        <v>11:55</v>
      </c>
    </row>
    <row r="478" spans="1:7">
      <c r="A478" s="1" t="s">
        <v>497</v>
      </c>
      <c r="B478" s="2">
        <v>46169.49652777778</v>
      </c>
      <c r="C478" s="1" t="s">
        <v>21</v>
      </c>
      <c r="D478" s="3">
        <v>0</v>
      </c>
      <c r="E478" s="3">
        <v>4.16</v>
      </c>
      <c r="F478" s="1" t="s">
        <v>15</v>
      </c>
      <c r="G478" s="1" t="str">
        <f>TEXT(RideData[[#This Row],[timestamp]],"hh:mm")</f>
        <v>11:55</v>
      </c>
    </row>
    <row r="479" spans="1:7">
      <c r="A479" s="1" t="s">
        <v>498</v>
      </c>
      <c r="B479" s="2">
        <v>46169.49652777778</v>
      </c>
      <c r="C479" s="1" t="s">
        <v>19</v>
      </c>
      <c r="D479" s="3">
        <v>0</v>
      </c>
      <c r="E479" s="3">
        <v>3.4</v>
      </c>
      <c r="F479" s="1" t="s">
        <v>15</v>
      </c>
      <c r="G479" s="1" t="str">
        <f>TEXT(RideData[[#This Row],[timestamp]],"hh:mm")</f>
        <v>11:55</v>
      </c>
    </row>
    <row r="480" spans="1:7">
      <c r="A480" s="1" t="s">
        <v>499</v>
      </c>
      <c r="B480" s="2">
        <v>46169.49652777778</v>
      </c>
      <c r="C480" s="1" t="s">
        <v>8</v>
      </c>
      <c r="D480" s="3">
        <v>723.0599999999999</v>
      </c>
      <c r="F480" s="1" t="s">
        <v>9</v>
      </c>
      <c r="G480" s="1" t="str">
        <f>TEXT(RideData[[#This Row],[timestamp]],"hh:mm")</f>
        <v>11:55</v>
      </c>
    </row>
    <row r="481" spans="1:7">
      <c r="A481" s="1" t="s">
        <v>500</v>
      </c>
      <c r="B481" s="2">
        <v>46169.49652777778</v>
      </c>
      <c r="C481" s="1" t="s">
        <v>12</v>
      </c>
      <c r="D481" s="3">
        <v>0</v>
      </c>
      <c r="E481" s="3">
        <v>3.84</v>
      </c>
      <c r="F481" s="1" t="s">
        <v>15</v>
      </c>
      <c r="G481" s="1" t="str">
        <f>TEXT(RideData[[#This Row],[timestamp]],"hh:mm")</f>
        <v>11:55</v>
      </c>
    </row>
    <row r="482" spans="1:7">
      <c r="A482" s="1" t="s">
        <v>501</v>
      </c>
      <c r="B482" s="2">
        <v>46169.49652777778</v>
      </c>
      <c r="C482" s="1" t="s">
        <v>12</v>
      </c>
      <c r="D482" s="3">
        <v>1412.61</v>
      </c>
      <c r="E482" s="3">
        <v>4.16</v>
      </c>
      <c r="F482" s="1" t="s">
        <v>9</v>
      </c>
      <c r="G482" s="1" t="str">
        <f>TEXT(RideData[[#This Row],[timestamp]],"hh:mm")</f>
        <v>11:55</v>
      </c>
    </row>
    <row r="483" spans="1:7">
      <c r="A483" s="1" t="s">
        <v>502</v>
      </c>
      <c r="B483" s="2">
        <v>46169.49652777778</v>
      </c>
      <c r="C483" s="1" t="s">
        <v>12</v>
      </c>
      <c r="D483" s="3">
        <v>857.01</v>
      </c>
      <c r="E483" s="3">
        <v>3.35</v>
      </c>
      <c r="F483" s="1" t="s">
        <v>9</v>
      </c>
      <c r="G483" s="1" t="str">
        <f>TEXT(RideData[[#This Row],[timestamp]],"hh:mm")</f>
        <v>11:55</v>
      </c>
    </row>
    <row r="484" spans="1:7">
      <c r="A484" s="1" t="s">
        <v>503</v>
      </c>
      <c r="B484" s="2">
        <v>46169.49652777778</v>
      </c>
      <c r="C484" s="1" t="s">
        <v>12</v>
      </c>
      <c r="D484" s="3">
        <v>716.16</v>
      </c>
      <c r="E484" s="3">
        <v>4.39</v>
      </c>
      <c r="F484" s="1" t="s">
        <v>9</v>
      </c>
      <c r="G484" s="1" t="str">
        <f>TEXT(RideData[[#This Row],[timestamp]],"hh:mm")</f>
        <v>11:55</v>
      </c>
    </row>
    <row r="485" spans="1:7">
      <c r="A485" s="1" t="s">
        <v>504</v>
      </c>
      <c r="B485" s="2">
        <v>46169.49652777778</v>
      </c>
      <c r="C485" s="1" t="s">
        <v>19</v>
      </c>
      <c r="D485" s="3">
        <v>951.47</v>
      </c>
      <c r="E485" s="3">
        <v>3.06</v>
      </c>
      <c r="F485" s="1" t="s">
        <v>9</v>
      </c>
      <c r="G485" s="1" t="str">
        <f>TEXT(RideData[[#This Row],[timestamp]],"hh:mm")</f>
        <v>11:55</v>
      </c>
    </row>
    <row r="486" spans="1:7">
      <c r="A486" s="1" t="s">
        <v>505</v>
      </c>
      <c r="B486" s="2">
        <v>46169.49652777778</v>
      </c>
      <c r="C486" s="1" t="s">
        <v>12</v>
      </c>
      <c r="D486" s="3">
        <v>3846.08</v>
      </c>
      <c r="E486" s="3">
        <v>4.15</v>
      </c>
      <c r="F486" s="1" t="s">
        <v>9</v>
      </c>
      <c r="G486" s="1" t="str">
        <f>TEXT(RideData[[#This Row],[timestamp]],"hh:mm")</f>
        <v>11:55</v>
      </c>
    </row>
    <row r="487" spans="1:7">
      <c r="A487" s="1" t="s">
        <v>506</v>
      </c>
      <c r="B487" s="2">
        <v>46169.49652777778</v>
      </c>
      <c r="C487" s="1" t="s">
        <v>21</v>
      </c>
      <c r="D487" s="3">
        <v>688.86</v>
      </c>
      <c r="F487" s="1" t="s">
        <v>9</v>
      </c>
      <c r="G487" s="1" t="str">
        <f>TEXT(RideData[[#This Row],[timestamp]],"hh:mm")</f>
        <v>11:55</v>
      </c>
    </row>
    <row r="488" spans="1:7">
      <c r="A488" s="1" t="s">
        <v>507</v>
      </c>
      <c r="B488" s="2">
        <v>46169.49652777778</v>
      </c>
      <c r="C488" s="1" t="s">
        <v>19</v>
      </c>
      <c r="D488" s="3">
        <v>0</v>
      </c>
      <c r="E488" s="3">
        <v>4.22</v>
      </c>
      <c r="F488" s="1" t="s">
        <v>15</v>
      </c>
      <c r="G488" s="1" t="str">
        <f>TEXT(RideData[[#This Row],[timestamp]],"hh:mm")</f>
        <v>11:55</v>
      </c>
    </row>
    <row r="489" spans="1:7">
      <c r="A489" s="1" t="s">
        <v>508</v>
      </c>
      <c r="B489" s="2">
        <v>46169.49652777778</v>
      </c>
      <c r="C489" s="1" t="s">
        <v>12</v>
      </c>
      <c r="D489" s="3">
        <v>825.67</v>
      </c>
      <c r="E489" s="3">
        <v>4</v>
      </c>
      <c r="F489" s="1" t="s">
        <v>9</v>
      </c>
      <c r="G489" s="1" t="str">
        <f>TEXT(RideData[[#This Row],[timestamp]],"hh:mm")</f>
        <v>11:55</v>
      </c>
    </row>
    <row r="490" spans="1:7">
      <c r="A490" s="1" t="s">
        <v>509</v>
      </c>
      <c r="B490" s="2">
        <v>46169.49652777778</v>
      </c>
      <c r="C490" s="1" t="s">
        <v>8</v>
      </c>
      <c r="D490" s="3">
        <v>2219.61</v>
      </c>
      <c r="E490" s="3">
        <v>4.16</v>
      </c>
      <c r="F490" s="1" t="s">
        <v>9</v>
      </c>
      <c r="G490" s="1" t="str">
        <f>TEXT(RideData[[#This Row],[timestamp]],"hh:mm")</f>
        <v>11:55</v>
      </c>
    </row>
    <row r="491" spans="1:7">
      <c r="A491" s="1" t="s">
        <v>510</v>
      </c>
      <c r="B491" s="2">
        <v>46169.49652777778</v>
      </c>
      <c r="C491" s="1" t="s">
        <v>8</v>
      </c>
      <c r="D491" s="3">
        <v>1389.13</v>
      </c>
      <c r="E491" s="3">
        <v>3.83</v>
      </c>
      <c r="F491" s="1" t="s">
        <v>9</v>
      </c>
      <c r="G491" s="1" t="str">
        <f>TEXT(RideData[[#This Row],[timestamp]],"hh:mm")</f>
        <v>11:55</v>
      </c>
    </row>
    <row r="492" spans="1:7">
      <c r="A492" s="1" t="s">
        <v>511</v>
      </c>
      <c r="B492" s="2">
        <v>46169.49652777778</v>
      </c>
      <c r="C492" s="1" t="s">
        <v>21</v>
      </c>
      <c r="D492" s="3">
        <v>0</v>
      </c>
      <c r="E492" s="3">
        <v>3.64</v>
      </c>
      <c r="F492" s="1" t="s">
        <v>15</v>
      </c>
      <c r="G492" s="1" t="str">
        <f>TEXT(RideData[[#This Row],[timestamp]],"hh:mm")</f>
        <v>11:55</v>
      </c>
    </row>
    <row r="493" spans="1:7">
      <c r="A493" s="1" t="s">
        <v>512</v>
      </c>
      <c r="B493" s="2">
        <v>46169.49652777778</v>
      </c>
      <c r="C493" s="1" t="s">
        <v>8</v>
      </c>
      <c r="D493" s="3">
        <v>896.53</v>
      </c>
      <c r="E493" s="3">
        <v>3.51</v>
      </c>
      <c r="F493" s="1" t="s">
        <v>9</v>
      </c>
      <c r="G493" s="1" t="str">
        <f>TEXT(RideData[[#This Row],[timestamp]],"hh:mm")</f>
        <v>11:55</v>
      </c>
    </row>
    <row r="494" spans="1:7">
      <c r="A494" s="1" t="s">
        <v>513</v>
      </c>
      <c r="B494" s="2">
        <v>46169.49652777778</v>
      </c>
      <c r="C494" s="1" t="s">
        <v>21</v>
      </c>
      <c r="D494" s="3">
        <v>982.47</v>
      </c>
      <c r="E494" s="3">
        <v>4.33</v>
      </c>
      <c r="F494" s="1" t="s">
        <v>9</v>
      </c>
      <c r="G494" s="1" t="str">
        <f>TEXT(RideData[[#This Row],[timestamp]],"hh:mm")</f>
        <v>11:55</v>
      </c>
    </row>
    <row r="495" spans="1:7">
      <c r="A495" s="1" t="s">
        <v>514</v>
      </c>
      <c r="B495" s="2">
        <v>46169.49652777778</v>
      </c>
      <c r="C495" s="1" t="s">
        <v>12</v>
      </c>
      <c r="D495" s="3">
        <v>1091.17</v>
      </c>
      <c r="E495" s="3">
        <v>4.85</v>
      </c>
      <c r="F495" s="1" t="s">
        <v>9</v>
      </c>
      <c r="G495" s="1" t="str">
        <f>TEXT(RideData[[#This Row],[timestamp]],"hh:mm")</f>
        <v>11:55</v>
      </c>
    </row>
    <row r="496" spans="1:7">
      <c r="A496" s="1" t="s">
        <v>515</v>
      </c>
      <c r="B496" s="2">
        <v>46169.49652777778</v>
      </c>
      <c r="C496" s="1" t="s">
        <v>8</v>
      </c>
      <c r="D496" s="3">
        <v>1728.26</v>
      </c>
      <c r="E496" s="3">
        <v>4.38</v>
      </c>
      <c r="F496" s="1" t="s">
        <v>9</v>
      </c>
      <c r="G496" s="1" t="str">
        <f>TEXT(RideData[[#This Row],[timestamp]],"hh:mm")</f>
        <v>11:55</v>
      </c>
    </row>
    <row r="497" spans="1:7">
      <c r="A497" s="1" t="s">
        <v>516</v>
      </c>
      <c r="B497" s="2">
        <v>46169.49652777778</v>
      </c>
      <c r="C497" s="1" t="s">
        <v>19</v>
      </c>
      <c r="D497" s="3">
        <v>0</v>
      </c>
      <c r="E497" s="3">
        <v>4.07</v>
      </c>
      <c r="F497" s="1" t="s">
        <v>15</v>
      </c>
      <c r="G497" s="1" t="str">
        <f>TEXT(RideData[[#This Row],[timestamp]],"hh:mm")</f>
        <v>11:55</v>
      </c>
    </row>
    <row r="498" spans="1:7">
      <c r="A498" s="1" t="s">
        <v>517</v>
      </c>
      <c r="B498" s="2">
        <v>46169.49652777778</v>
      </c>
      <c r="C498" s="1" t="s">
        <v>12</v>
      </c>
      <c r="D498" s="3">
        <v>1680.27</v>
      </c>
      <c r="E498" s="3">
        <v>3.87</v>
      </c>
      <c r="F498" s="1" t="s">
        <v>9</v>
      </c>
      <c r="G498" s="1" t="str">
        <f>TEXT(RideData[[#This Row],[timestamp]],"hh:mm")</f>
        <v>11:55</v>
      </c>
    </row>
    <row r="499" spans="1:7">
      <c r="A499" s="1" t="s">
        <v>518</v>
      </c>
      <c r="B499" s="2">
        <v>46169.49652777778</v>
      </c>
      <c r="C499" s="1" t="s">
        <v>21</v>
      </c>
      <c r="D499" s="3">
        <v>0</v>
      </c>
      <c r="E499" s="3">
        <v>4.18</v>
      </c>
      <c r="F499" s="1" t="s">
        <v>15</v>
      </c>
      <c r="G499" s="1" t="str">
        <f>TEXT(RideData[[#This Row],[timestamp]],"hh:mm")</f>
        <v>11:55</v>
      </c>
    </row>
    <row r="500" spans="1:7">
      <c r="A500" s="1" t="s">
        <v>519</v>
      </c>
      <c r="B500" s="2">
        <v>46169.49652777778</v>
      </c>
      <c r="C500" s="1" t="s">
        <v>21</v>
      </c>
      <c r="D500" s="3">
        <v>1166.09</v>
      </c>
      <c r="E500" s="3">
        <v>4.71</v>
      </c>
      <c r="F500" s="1" t="s">
        <v>9</v>
      </c>
      <c r="G500" s="1" t="str">
        <f>TEXT(RideData[[#This Row],[timestamp]],"hh:mm")</f>
        <v>11:55</v>
      </c>
    </row>
    <row r="501" spans="1:7">
      <c r="A501" s="1" t="s">
        <v>520</v>
      </c>
      <c r="B501" s="2">
        <v>46169.49652777778</v>
      </c>
      <c r="C501" s="1" t="s">
        <v>19</v>
      </c>
      <c r="D501" s="3">
        <v>1698.72</v>
      </c>
      <c r="E501" s="3">
        <v>3.91</v>
      </c>
      <c r="F501" s="1" t="s">
        <v>9</v>
      </c>
      <c r="G501" s="1" t="str">
        <f>TEXT(RideData[[#This Row],[timestamp]],"hh:mm")</f>
        <v>11:55</v>
      </c>
    </row>
    <row r="502" spans="1:7">
      <c r="A502" s="1" t="s">
        <v>521</v>
      </c>
      <c r="B502" s="2">
        <v>46169.49652777778</v>
      </c>
      <c r="C502" s="1" t="s">
        <v>12</v>
      </c>
      <c r="D502" s="3">
        <v>0</v>
      </c>
      <c r="E502" s="3">
        <v>3.52</v>
      </c>
      <c r="F502" s="1" t="s">
        <v>17</v>
      </c>
      <c r="G502" s="1" t="str">
        <f>TEXT(RideData[[#This Row],[timestamp]],"hh:mm")</f>
        <v>11:55</v>
      </c>
    </row>
    <row r="503" spans="1:7">
      <c r="A503" s="1" t="s">
        <v>522</v>
      </c>
      <c r="B503" s="2">
        <v>46169.49652777778</v>
      </c>
      <c r="C503" s="1" t="s">
        <v>21</v>
      </c>
      <c r="D503" s="3">
        <v>901.58</v>
      </c>
      <c r="F503" s="1" t="s">
        <v>9</v>
      </c>
      <c r="G503" s="1" t="str">
        <f>TEXT(RideData[[#This Row],[timestamp]],"hh:mm")</f>
        <v>11:55</v>
      </c>
    </row>
    <row r="504" spans="1:7">
      <c r="A504" s="1" t="s">
        <v>523</v>
      </c>
      <c r="B504" s="2">
        <v>46169.49652777778</v>
      </c>
      <c r="C504" s="1" t="s">
        <v>8</v>
      </c>
      <c r="D504" s="3">
        <v>1577.68</v>
      </c>
      <c r="E504" s="3">
        <v>3.88</v>
      </c>
      <c r="F504" s="1" t="s">
        <v>9</v>
      </c>
      <c r="G504" s="1" t="str">
        <f>TEXT(RideData[[#This Row],[timestamp]],"hh:mm")</f>
        <v>11:55</v>
      </c>
    </row>
    <row r="505" spans="1:7">
      <c r="A505" s="1" t="s">
        <v>524</v>
      </c>
      <c r="B505" s="2">
        <v>46169.49652777778</v>
      </c>
      <c r="C505" s="1" t="s">
        <v>8</v>
      </c>
      <c r="D505" s="3">
        <v>1709.06</v>
      </c>
      <c r="E505" s="3">
        <v>3.83</v>
      </c>
      <c r="F505" s="1" t="s">
        <v>9</v>
      </c>
      <c r="G505" s="1" t="str">
        <f>TEXT(RideData[[#This Row],[timestamp]],"hh:mm")</f>
        <v>11:55</v>
      </c>
    </row>
    <row r="506" spans="1:7">
      <c r="A506" s="1" t="s">
        <v>525</v>
      </c>
      <c r="B506" s="2">
        <v>46169.49652777778</v>
      </c>
      <c r="C506" s="1" t="s">
        <v>8</v>
      </c>
      <c r="D506" s="3">
        <v>0</v>
      </c>
      <c r="E506" s="3">
        <v>3.22</v>
      </c>
      <c r="F506" s="1" t="s">
        <v>17</v>
      </c>
      <c r="G506" s="1" t="str">
        <f>TEXT(RideData[[#This Row],[timestamp]],"hh:mm")</f>
        <v>11:55</v>
      </c>
    </row>
    <row r="507" spans="1:7">
      <c r="A507" s="1" t="s">
        <v>526</v>
      </c>
      <c r="B507" s="2">
        <v>46169.49652777778</v>
      </c>
      <c r="C507" s="1" t="s">
        <v>21</v>
      </c>
      <c r="D507" s="3">
        <v>0</v>
      </c>
      <c r="E507" s="3">
        <v>3.89</v>
      </c>
      <c r="F507" s="1" t="s">
        <v>15</v>
      </c>
      <c r="G507" s="1" t="str">
        <f>TEXT(RideData[[#This Row],[timestamp]],"hh:mm")</f>
        <v>11:55</v>
      </c>
    </row>
    <row r="508" spans="1:7">
      <c r="A508" s="1" t="s">
        <v>527</v>
      </c>
      <c r="B508" s="2">
        <v>46169.49652777778</v>
      </c>
      <c r="C508" s="1" t="s">
        <v>19</v>
      </c>
      <c r="D508" s="3">
        <v>501.71</v>
      </c>
      <c r="E508" s="3">
        <v>3.47</v>
      </c>
      <c r="F508" s="1" t="s">
        <v>9</v>
      </c>
      <c r="G508" s="1" t="str">
        <f>TEXT(RideData[[#This Row],[timestamp]],"hh:mm")</f>
        <v>11:55</v>
      </c>
    </row>
    <row r="509" spans="1:7">
      <c r="A509" s="1" t="s">
        <v>528</v>
      </c>
      <c r="B509" s="2">
        <v>46169.49652777778</v>
      </c>
      <c r="C509" s="1" t="s">
        <v>19</v>
      </c>
      <c r="D509" s="3">
        <v>1177.98</v>
      </c>
      <c r="E509" s="3">
        <v>3.94</v>
      </c>
      <c r="F509" s="1" t="s">
        <v>9</v>
      </c>
      <c r="G509" s="1" t="str">
        <f>TEXT(RideData[[#This Row],[timestamp]],"hh:mm")</f>
        <v>11:55</v>
      </c>
    </row>
    <row r="510" spans="1:7">
      <c r="A510" s="1" t="s">
        <v>529</v>
      </c>
      <c r="B510" s="2">
        <v>46169.5</v>
      </c>
      <c r="C510" s="1" t="s">
        <v>21</v>
      </c>
      <c r="D510" s="3">
        <v>1744.68</v>
      </c>
      <c r="E510" s="3">
        <v>4.71</v>
      </c>
      <c r="F510" s="1" t="s">
        <v>9</v>
      </c>
      <c r="G510" s="1" t="str">
        <f>TEXT(RideData[[#This Row],[timestamp]],"hh:mm")</f>
        <v>12:00</v>
      </c>
    </row>
    <row r="511" spans="1:7">
      <c r="A511" s="1" t="s">
        <v>531</v>
      </c>
      <c r="B511" s="2">
        <v>46169.5</v>
      </c>
      <c r="C511" s="1" t="s">
        <v>21</v>
      </c>
      <c r="D511" s="3">
        <v>914.6</v>
      </c>
      <c r="E511" s="3">
        <v>3.66</v>
      </c>
      <c r="F511" s="1" t="s">
        <v>9</v>
      </c>
      <c r="G511" s="1" t="str">
        <f>TEXT(RideData[[#This Row],[timestamp]],"hh:mm")</f>
        <v>12:00</v>
      </c>
    </row>
    <row r="512" spans="1:7">
      <c r="A512" s="1" t="s">
        <v>532</v>
      </c>
      <c r="B512" s="2">
        <v>46169.5</v>
      </c>
      <c r="C512" s="1" t="s">
        <v>21</v>
      </c>
      <c r="D512" s="3">
        <v>712.3200000000001</v>
      </c>
      <c r="F512" s="1" t="s">
        <v>9</v>
      </c>
      <c r="G512" s="1" t="str">
        <f>TEXT(RideData[[#This Row],[timestamp]],"hh:mm")</f>
        <v>12:00</v>
      </c>
    </row>
    <row r="513" spans="1:7">
      <c r="A513" s="1" t="s">
        <v>533</v>
      </c>
      <c r="B513" s="2">
        <v>46169.5</v>
      </c>
      <c r="C513" s="1" t="s">
        <v>19</v>
      </c>
      <c r="D513" s="3">
        <v>0</v>
      </c>
      <c r="E513" s="3">
        <v>3.43</v>
      </c>
      <c r="F513" s="1" t="s">
        <v>17</v>
      </c>
      <c r="G513" s="1" t="str">
        <f>TEXT(RideData[[#This Row],[timestamp]],"hh:mm")</f>
        <v>12:00</v>
      </c>
    </row>
    <row r="514" spans="1:7">
      <c r="A514" s="1" t="s">
        <v>534</v>
      </c>
      <c r="B514" s="2">
        <v>46169.5</v>
      </c>
      <c r="C514" s="1" t="s">
        <v>12</v>
      </c>
      <c r="D514" s="3">
        <v>1727.62</v>
      </c>
      <c r="E514" s="3">
        <v>3.91</v>
      </c>
      <c r="F514" s="1" t="s">
        <v>9</v>
      </c>
      <c r="G514" s="1" t="str">
        <f>TEXT(RideData[[#This Row],[timestamp]],"hh:mm")</f>
        <v>12:00</v>
      </c>
    </row>
    <row r="515" spans="1:7">
      <c r="A515" s="1" t="s">
        <v>535</v>
      </c>
      <c r="B515" s="2">
        <v>46169.5</v>
      </c>
      <c r="C515" s="1" t="s">
        <v>21</v>
      </c>
      <c r="D515" s="3">
        <v>1471.28</v>
      </c>
      <c r="E515" s="3">
        <v>4.93</v>
      </c>
      <c r="F515" s="1" t="s">
        <v>9</v>
      </c>
      <c r="G515" s="1" t="str">
        <f>TEXT(RideData[[#This Row],[timestamp]],"hh:mm")</f>
        <v>12:00</v>
      </c>
    </row>
    <row r="516" spans="1:7">
      <c r="A516" s="1" t="s">
        <v>536</v>
      </c>
      <c r="B516" s="2">
        <v>46169.5</v>
      </c>
      <c r="C516" s="1" t="s">
        <v>12</v>
      </c>
      <c r="D516" s="3">
        <v>0</v>
      </c>
      <c r="E516" s="3">
        <v>3.73</v>
      </c>
      <c r="F516" s="1" t="s">
        <v>17</v>
      </c>
      <c r="G516" s="1" t="str">
        <f>TEXT(RideData[[#This Row],[timestamp]],"hh:mm")</f>
        <v>12:00</v>
      </c>
    </row>
    <row r="517" spans="1:7">
      <c r="A517" s="1" t="s">
        <v>537</v>
      </c>
      <c r="B517" s="2">
        <v>46169.5</v>
      </c>
      <c r="C517" s="1" t="s">
        <v>12</v>
      </c>
      <c r="D517" s="3">
        <v>2233.55</v>
      </c>
      <c r="E517" s="3">
        <v>4.86</v>
      </c>
      <c r="F517" s="1" t="s">
        <v>9</v>
      </c>
      <c r="G517" s="1" t="str">
        <f>TEXT(RideData[[#This Row],[timestamp]],"hh:mm")</f>
        <v>12:00</v>
      </c>
    </row>
    <row r="518" spans="1:7">
      <c r="A518" s="1" t="s">
        <v>538</v>
      </c>
      <c r="B518" s="2">
        <v>46169.5</v>
      </c>
      <c r="C518" s="1" t="s">
        <v>12</v>
      </c>
      <c r="D518" s="3">
        <v>1495.95</v>
      </c>
      <c r="E518" s="3">
        <v>3.83</v>
      </c>
      <c r="F518" s="1" t="s">
        <v>9</v>
      </c>
      <c r="G518" s="1" t="str">
        <f>TEXT(RideData[[#This Row],[timestamp]],"hh:mm")</f>
        <v>12:00</v>
      </c>
    </row>
    <row r="519" spans="1:7">
      <c r="A519" s="1" t="s">
        <v>539</v>
      </c>
      <c r="B519" s="2">
        <v>46169.5</v>
      </c>
      <c r="C519" s="1" t="s">
        <v>12</v>
      </c>
      <c r="D519" s="3">
        <v>0</v>
      </c>
      <c r="E519" s="3">
        <v>4.51</v>
      </c>
      <c r="F519" s="1" t="s">
        <v>17</v>
      </c>
      <c r="G519" s="1" t="str">
        <f>TEXT(RideData[[#This Row],[timestamp]],"hh:mm")</f>
        <v>12:00</v>
      </c>
    </row>
    <row r="520" spans="1:7">
      <c r="A520" s="1" t="s">
        <v>540</v>
      </c>
      <c r="B520" s="2">
        <v>46169.5</v>
      </c>
      <c r="C520" s="1" t="s">
        <v>12</v>
      </c>
      <c r="D520" s="3">
        <v>0</v>
      </c>
      <c r="E520" s="3">
        <v>4.42</v>
      </c>
      <c r="F520" s="1" t="s">
        <v>15</v>
      </c>
      <c r="G520" s="1" t="str">
        <f>TEXT(RideData[[#This Row],[timestamp]],"hh:mm")</f>
        <v>12:00</v>
      </c>
    </row>
    <row r="521" spans="1:7">
      <c r="A521" s="1" t="s">
        <v>541</v>
      </c>
      <c r="B521" s="2">
        <v>46169.5</v>
      </c>
      <c r="C521" s="1" t="s">
        <v>21</v>
      </c>
      <c r="D521" s="3">
        <v>1732.17</v>
      </c>
      <c r="E521" s="3">
        <v>4.61</v>
      </c>
      <c r="F521" s="1" t="s">
        <v>9</v>
      </c>
      <c r="G521" s="1" t="str">
        <f>TEXT(RideData[[#This Row],[timestamp]],"hh:mm")</f>
        <v>12:00</v>
      </c>
    </row>
    <row r="522" spans="1:7">
      <c r="A522" s="1" t="s">
        <v>542</v>
      </c>
      <c r="B522" s="2">
        <v>46169.5</v>
      </c>
      <c r="C522" s="1" t="s">
        <v>12</v>
      </c>
      <c r="D522" s="3">
        <v>1880.71</v>
      </c>
      <c r="E522" s="3">
        <v>3.59</v>
      </c>
      <c r="F522" s="1" t="s">
        <v>9</v>
      </c>
      <c r="G522" s="1" t="str">
        <f>TEXT(RideData[[#This Row],[timestamp]],"hh:mm")</f>
        <v>12:00</v>
      </c>
    </row>
    <row r="523" spans="1:7">
      <c r="A523" s="1" t="s">
        <v>543</v>
      </c>
      <c r="B523" s="2">
        <v>46169.5</v>
      </c>
      <c r="C523" s="1" t="s">
        <v>19</v>
      </c>
      <c r="D523" s="3">
        <v>750.6799999999999</v>
      </c>
      <c r="E523" s="3">
        <v>4</v>
      </c>
      <c r="F523" s="1" t="s">
        <v>9</v>
      </c>
      <c r="G523" s="1" t="str">
        <f>TEXT(RideData[[#This Row],[timestamp]],"hh:mm")</f>
        <v>12:00</v>
      </c>
    </row>
    <row r="524" spans="1:7">
      <c r="A524" s="1" t="s">
        <v>544</v>
      </c>
      <c r="B524" s="2">
        <v>46169.5</v>
      </c>
      <c r="C524" s="1" t="s">
        <v>8</v>
      </c>
      <c r="D524" s="3">
        <v>3156.51</v>
      </c>
      <c r="E524" s="3">
        <v>4.01</v>
      </c>
      <c r="F524" s="1" t="s">
        <v>9</v>
      </c>
      <c r="G524" s="1" t="str">
        <f>TEXT(RideData[[#This Row],[timestamp]],"hh:mm")</f>
        <v>12:00</v>
      </c>
    </row>
    <row r="525" spans="1:7">
      <c r="A525" s="1" t="s">
        <v>545</v>
      </c>
      <c r="B525" s="2">
        <v>46169.5</v>
      </c>
      <c r="C525" s="1" t="s">
        <v>8</v>
      </c>
      <c r="D525" s="3">
        <v>0</v>
      </c>
      <c r="E525" s="3">
        <v>4.19</v>
      </c>
      <c r="F525" s="1" t="s">
        <v>15</v>
      </c>
      <c r="G525" s="1" t="str">
        <f>TEXT(RideData[[#This Row],[timestamp]],"hh:mm")</f>
        <v>12:00</v>
      </c>
    </row>
    <row r="526" spans="1:7">
      <c r="A526" s="1" t="s">
        <v>546</v>
      </c>
      <c r="B526" s="2">
        <v>46169.5</v>
      </c>
      <c r="C526" s="1" t="s">
        <v>8</v>
      </c>
      <c r="D526" s="3">
        <v>1358.79</v>
      </c>
      <c r="E526" s="3">
        <v>4.15</v>
      </c>
      <c r="F526" s="1" t="s">
        <v>9</v>
      </c>
      <c r="G526" s="1" t="str">
        <f>TEXT(RideData[[#This Row],[timestamp]],"hh:mm")</f>
        <v>12:00</v>
      </c>
    </row>
    <row r="527" spans="1:7">
      <c r="A527" s="1" t="s">
        <v>547</v>
      </c>
      <c r="B527" s="2">
        <v>46169.5</v>
      </c>
      <c r="C527" s="1" t="s">
        <v>12</v>
      </c>
      <c r="D527" s="3">
        <v>0</v>
      </c>
      <c r="E527" s="3">
        <v>4.28</v>
      </c>
      <c r="F527" s="1" t="s">
        <v>17</v>
      </c>
      <c r="G527" s="1" t="str">
        <f>TEXT(RideData[[#This Row],[timestamp]],"hh:mm")</f>
        <v>12:00</v>
      </c>
    </row>
    <row r="528" spans="1:7">
      <c r="A528" s="1" t="s">
        <v>548</v>
      </c>
      <c r="B528" s="2">
        <v>46169.5</v>
      </c>
      <c r="C528" s="1" t="s">
        <v>19</v>
      </c>
      <c r="D528" s="3">
        <v>1337.21</v>
      </c>
      <c r="E528" s="3">
        <v>3.09</v>
      </c>
      <c r="F528" s="1" t="s">
        <v>9</v>
      </c>
      <c r="G528" s="1" t="str">
        <f>TEXT(RideData[[#This Row],[timestamp]],"hh:mm")</f>
        <v>12:00</v>
      </c>
    </row>
    <row r="529" spans="1:7">
      <c r="A529" s="1" t="s">
        <v>549</v>
      </c>
      <c r="B529" s="2">
        <v>46169.5</v>
      </c>
      <c r="C529" s="1" t="s">
        <v>21</v>
      </c>
      <c r="D529" s="3">
        <v>0</v>
      </c>
      <c r="F529" s="1" t="s">
        <v>15</v>
      </c>
      <c r="G529" s="1" t="str">
        <f>TEXT(RideData[[#This Row],[timestamp]],"hh:mm")</f>
        <v>12:00</v>
      </c>
    </row>
    <row r="530" spans="1:7">
      <c r="A530" s="1" t="s">
        <v>550</v>
      </c>
      <c r="B530" s="2">
        <v>46169.5</v>
      </c>
      <c r="C530" s="1" t="s">
        <v>19</v>
      </c>
      <c r="D530" s="3">
        <v>0</v>
      </c>
      <c r="E530" s="3">
        <v>4.04</v>
      </c>
      <c r="F530" s="1" t="s">
        <v>17</v>
      </c>
      <c r="G530" s="1" t="str">
        <f>TEXT(RideData[[#This Row],[timestamp]],"hh:mm")</f>
        <v>12:00</v>
      </c>
    </row>
    <row r="531" spans="1:7">
      <c r="A531" s="1" t="s">
        <v>551</v>
      </c>
      <c r="B531" s="2">
        <v>46169.5</v>
      </c>
      <c r="C531" s="1" t="s">
        <v>8</v>
      </c>
      <c r="D531" s="3">
        <v>1142.49</v>
      </c>
      <c r="E531" s="3">
        <v>3.95</v>
      </c>
      <c r="F531" s="1" t="s">
        <v>9</v>
      </c>
      <c r="G531" s="1" t="str">
        <f>TEXT(RideData[[#This Row],[timestamp]],"hh:mm")</f>
        <v>12:00</v>
      </c>
    </row>
    <row r="532" spans="1:7">
      <c r="A532" s="1" t="s">
        <v>552</v>
      </c>
      <c r="B532" s="2">
        <v>46169.5</v>
      </c>
      <c r="C532" s="1" t="s">
        <v>8</v>
      </c>
      <c r="D532" s="3">
        <v>876.8099999999999</v>
      </c>
      <c r="E532" s="3">
        <v>4.04</v>
      </c>
      <c r="F532" s="1" t="s">
        <v>9</v>
      </c>
      <c r="G532" s="1" t="str">
        <f>TEXT(RideData[[#This Row],[timestamp]],"hh:mm")</f>
        <v>12:00</v>
      </c>
    </row>
    <row r="533" spans="1:7">
      <c r="A533" s="1" t="s">
        <v>553</v>
      </c>
      <c r="B533" s="2">
        <v>46169.5</v>
      </c>
      <c r="C533" s="1" t="s">
        <v>19</v>
      </c>
      <c r="D533" s="3">
        <v>1720.77</v>
      </c>
      <c r="F533" s="1" t="s">
        <v>9</v>
      </c>
      <c r="G533" s="1" t="str">
        <f>TEXT(RideData[[#This Row],[timestamp]],"hh:mm")</f>
        <v>12:00</v>
      </c>
    </row>
    <row r="534" spans="1:7">
      <c r="A534" s="1" t="s">
        <v>554</v>
      </c>
      <c r="B534" s="2">
        <v>46169.5</v>
      </c>
      <c r="C534" s="1" t="s">
        <v>19</v>
      </c>
      <c r="D534" s="3">
        <v>0</v>
      </c>
      <c r="E534" s="3">
        <v>5</v>
      </c>
      <c r="F534" s="1" t="s">
        <v>15</v>
      </c>
      <c r="G534" s="1" t="str">
        <f>TEXT(RideData[[#This Row],[timestamp]],"hh:mm")</f>
        <v>12:00</v>
      </c>
    </row>
    <row r="535" spans="1:7">
      <c r="A535" s="1" t="s">
        <v>555</v>
      </c>
      <c r="B535" s="2">
        <v>46169.5</v>
      </c>
      <c r="C535" s="1" t="s">
        <v>12</v>
      </c>
      <c r="D535" s="3">
        <v>1806.26</v>
      </c>
      <c r="E535" s="3">
        <v>3.58</v>
      </c>
      <c r="F535" s="1" t="s">
        <v>9</v>
      </c>
      <c r="G535" s="1" t="str">
        <f>TEXT(RideData[[#This Row],[timestamp]],"hh:mm")</f>
        <v>12:00</v>
      </c>
    </row>
    <row r="536" spans="1:7">
      <c r="A536" s="1" t="s">
        <v>556</v>
      </c>
      <c r="B536" s="2">
        <v>46169.5</v>
      </c>
      <c r="C536" s="1" t="s">
        <v>8</v>
      </c>
      <c r="D536" s="3">
        <v>747.15</v>
      </c>
      <c r="E536" s="3">
        <v>4.25</v>
      </c>
      <c r="F536" s="1" t="s">
        <v>9</v>
      </c>
      <c r="G536" s="1" t="str">
        <f>TEXT(RideData[[#This Row],[timestamp]],"hh:mm")</f>
        <v>12:00</v>
      </c>
    </row>
    <row r="537" spans="1:7">
      <c r="A537" s="1" t="s">
        <v>557</v>
      </c>
      <c r="B537" s="2">
        <v>46169.5</v>
      </c>
      <c r="C537" s="1" t="s">
        <v>21</v>
      </c>
      <c r="D537" s="3">
        <v>1400.46</v>
      </c>
      <c r="E537" s="3">
        <v>4.4</v>
      </c>
      <c r="F537" s="1" t="s">
        <v>9</v>
      </c>
      <c r="G537" s="1" t="str">
        <f>TEXT(RideData[[#This Row],[timestamp]],"hh:mm")</f>
        <v>12:00</v>
      </c>
    </row>
    <row r="538" spans="1:7">
      <c r="A538" s="1" t="s">
        <v>558</v>
      </c>
      <c r="B538" s="2">
        <v>46169.5</v>
      </c>
      <c r="C538" s="1" t="s">
        <v>21</v>
      </c>
      <c r="D538" s="3">
        <v>1663.97</v>
      </c>
      <c r="E538" s="3">
        <v>3.43</v>
      </c>
      <c r="F538" s="1" t="s">
        <v>9</v>
      </c>
      <c r="G538" s="1" t="str">
        <f>TEXT(RideData[[#This Row],[timestamp]],"hh:mm")</f>
        <v>12:00</v>
      </c>
    </row>
    <row r="539" spans="1:7">
      <c r="A539" s="1" t="s">
        <v>559</v>
      </c>
      <c r="B539" s="2">
        <v>46169.5</v>
      </c>
      <c r="C539" s="1" t="s">
        <v>8</v>
      </c>
      <c r="D539" s="3">
        <v>1022.04</v>
      </c>
      <c r="E539" s="3">
        <v>3.47</v>
      </c>
      <c r="F539" s="1" t="s">
        <v>9</v>
      </c>
      <c r="G539" s="1" t="str">
        <f>TEXT(RideData[[#This Row],[timestamp]],"hh:mm")</f>
        <v>12:00</v>
      </c>
    </row>
    <row r="540" spans="1:7">
      <c r="A540" s="1" t="s">
        <v>560</v>
      </c>
      <c r="B540" s="2">
        <v>46169.5</v>
      </c>
      <c r="C540" s="1" t="s">
        <v>8</v>
      </c>
      <c r="D540" s="3">
        <v>955.86</v>
      </c>
      <c r="E540" s="3">
        <v>3.93</v>
      </c>
      <c r="F540" s="1" t="s">
        <v>9</v>
      </c>
      <c r="G540" s="1" t="str">
        <f>TEXT(RideData[[#This Row],[timestamp]],"hh:mm")</f>
        <v>12:00</v>
      </c>
    </row>
    <row r="541" spans="1:7">
      <c r="A541" s="1" t="s">
        <v>561</v>
      </c>
      <c r="B541" s="2">
        <v>46169.5</v>
      </c>
      <c r="C541" s="1" t="s">
        <v>12</v>
      </c>
      <c r="D541" s="3">
        <v>1491.32</v>
      </c>
      <c r="E541" s="3">
        <v>4.62</v>
      </c>
      <c r="F541" s="1" t="s">
        <v>9</v>
      </c>
      <c r="G541" s="1" t="str">
        <f>TEXT(RideData[[#This Row],[timestamp]],"hh:mm")</f>
        <v>12:00</v>
      </c>
    </row>
    <row r="542" spans="1:7">
      <c r="A542" s="1" t="s">
        <v>562</v>
      </c>
      <c r="B542" s="2">
        <v>46169.5</v>
      </c>
      <c r="C542" s="1" t="s">
        <v>21</v>
      </c>
      <c r="D542" s="3">
        <v>0</v>
      </c>
      <c r="E542" s="3">
        <v>4.24</v>
      </c>
      <c r="F542" s="1" t="s">
        <v>17</v>
      </c>
      <c r="G542" s="1" t="str">
        <f>TEXT(RideData[[#This Row],[timestamp]],"hh:mm")</f>
        <v>12:00</v>
      </c>
    </row>
    <row r="543" spans="1:7">
      <c r="A543" s="1" t="s">
        <v>563</v>
      </c>
      <c r="B543" s="2">
        <v>46169.5</v>
      </c>
      <c r="C543" s="1" t="s">
        <v>8</v>
      </c>
      <c r="D543" s="3">
        <v>0</v>
      </c>
      <c r="F543" s="1" t="s">
        <v>17</v>
      </c>
      <c r="G543" s="1" t="str">
        <f>TEXT(RideData[[#This Row],[timestamp]],"hh:mm")</f>
        <v>12:00</v>
      </c>
    </row>
    <row r="544" spans="1:7">
      <c r="A544" s="1" t="s">
        <v>564</v>
      </c>
      <c r="B544" s="2">
        <v>46169.5</v>
      </c>
      <c r="C544" s="1" t="s">
        <v>19</v>
      </c>
      <c r="D544" s="3">
        <v>1046.46</v>
      </c>
      <c r="E544" s="3">
        <v>3.93</v>
      </c>
      <c r="F544" s="1" t="s">
        <v>9</v>
      </c>
      <c r="G544" s="1" t="str">
        <f>TEXT(RideData[[#This Row],[timestamp]],"hh:mm")</f>
        <v>12:00</v>
      </c>
    </row>
    <row r="545" spans="1:7">
      <c r="A545" s="1" t="s">
        <v>565</v>
      </c>
      <c r="B545" s="2">
        <v>46169.5</v>
      </c>
      <c r="C545" s="1" t="s">
        <v>21</v>
      </c>
      <c r="D545" s="3">
        <v>1774.36</v>
      </c>
      <c r="E545" s="3">
        <v>4.2</v>
      </c>
      <c r="F545" s="1" t="s">
        <v>9</v>
      </c>
      <c r="G545" s="1" t="str">
        <f>TEXT(RideData[[#This Row],[timestamp]],"hh:mm")</f>
        <v>12:00</v>
      </c>
    </row>
    <row r="546" spans="1:7">
      <c r="A546" s="1" t="s">
        <v>566</v>
      </c>
      <c r="B546" s="2">
        <v>46169.5</v>
      </c>
      <c r="C546" s="1" t="s">
        <v>19</v>
      </c>
      <c r="D546" s="3">
        <v>1019.37</v>
      </c>
      <c r="E546" s="3">
        <v>3.57</v>
      </c>
      <c r="F546" s="1" t="s">
        <v>9</v>
      </c>
      <c r="G546" s="1" t="str">
        <f>TEXT(RideData[[#This Row],[timestamp]],"hh:mm")</f>
        <v>12:00</v>
      </c>
    </row>
    <row r="547" spans="1:7">
      <c r="A547" s="1" t="s">
        <v>567</v>
      </c>
      <c r="B547" s="2">
        <v>46169.5</v>
      </c>
      <c r="C547" s="1" t="s">
        <v>12</v>
      </c>
      <c r="D547" s="3">
        <v>1498.18</v>
      </c>
      <c r="E547" s="3">
        <v>3.76</v>
      </c>
      <c r="F547" s="1" t="s">
        <v>9</v>
      </c>
      <c r="G547" s="1" t="str">
        <f>TEXT(RideData[[#This Row],[timestamp]],"hh:mm")</f>
        <v>12:00</v>
      </c>
    </row>
    <row r="548" spans="1:7">
      <c r="A548" s="1" t="s">
        <v>568</v>
      </c>
      <c r="B548" s="2">
        <v>46169.5</v>
      </c>
      <c r="C548" s="1" t="s">
        <v>21</v>
      </c>
      <c r="D548" s="3">
        <v>0</v>
      </c>
      <c r="E548" s="3">
        <v>4.26</v>
      </c>
      <c r="F548" s="1" t="s">
        <v>15</v>
      </c>
      <c r="G548" s="1" t="str">
        <f>TEXT(RideData[[#This Row],[timestamp]],"hh:mm")</f>
        <v>12:00</v>
      </c>
    </row>
    <row r="549" spans="1:7">
      <c r="A549" s="1" t="s">
        <v>569</v>
      </c>
      <c r="B549" s="2">
        <v>46169.5</v>
      </c>
      <c r="C549" s="1" t="s">
        <v>21</v>
      </c>
      <c r="D549" s="3">
        <v>1397</v>
      </c>
      <c r="E549" s="3">
        <v>3.73</v>
      </c>
      <c r="F549" s="1" t="s">
        <v>9</v>
      </c>
      <c r="G549" s="1" t="str">
        <f>TEXT(RideData[[#This Row],[timestamp]],"hh:mm")</f>
        <v>12:00</v>
      </c>
    </row>
    <row r="550" spans="1:7">
      <c r="A550" s="1" t="s">
        <v>570</v>
      </c>
      <c r="B550" s="2">
        <v>46169.5</v>
      </c>
      <c r="C550" s="1" t="s">
        <v>8</v>
      </c>
      <c r="D550" s="3">
        <v>1492.25</v>
      </c>
      <c r="E550" s="3">
        <v>4.47</v>
      </c>
      <c r="F550" s="1" t="s">
        <v>9</v>
      </c>
      <c r="G550" s="1" t="str">
        <f>TEXT(RideData[[#This Row],[timestamp]],"hh:mm")</f>
        <v>12:00</v>
      </c>
    </row>
    <row r="551" spans="1:7">
      <c r="A551" s="1" t="s">
        <v>571</v>
      </c>
      <c r="B551" s="2">
        <v>46169.5</v>
      </c>
      <c r="C551" s="1" t="s">
        <v>21</v>
      </c>
      <c r="D551" s="3">
        <v>2382.13</v>
      </c>
      <c r="E551" s="3">
        <v>4.05</v>
      </c>
      <c r="F551" s="1" t="s">
        <v>9</v>
      </c>
      <c r="G551" s="1" t="str">
        <f>TEXT(RideData[[#This Row],[timestamp]],"hh:mm")</f>
        <v>12:00</v>
      </c>
    </row>
    <row r="552" spans="1:7">
      <c r="A552" s="1" t="s">
        <v>572</v>
      </c>
      <c r="B552" s="2">
        <v>46169.5</v>
      </c>
      <c r="C552" s="1" t="s">
        <v>19</v>
      </c>
      <c r="D552" s="3">
        <v>738.04</v>
      </c>
      <c r="E552" s="3">
        <v>4.37</v>
      </c>
      <c r="F552" s="1" t="s">
        <v>9</v>
      </c>
      <c r="G552" s="1" t="str">
        <f>TEXT(RideData[[#This Row],[timestamp]],"hh:mm")</f>
        <v>12:00</v>
      </c>
    </row>
    <row r="553" spans="1:7">
      <c r="A553" s="1" t="s">
        <v>573</v>
      </c>
      <c r="B553" s="2">
        <v>46169.5</v>
      </c>
      <c r="C553" s="1" t="s">
        <v>12</v>
      </c>
      <c r="D553" s="3">
        <v>1351.36</v>
      </c>
      <c r="E553" s="3">
        <v>4.3</v>
      </c>
      <c r="F553" s="1" t="s">
        <v>9</v>
      </c>
      <c r="G553" s="1" t="str">
        <f>TEXT(RideData[[#This Row],[timestamp]],"hh:mm")</f>
        <v>12:00</v>
      </c>
    </row>
    <row r="554" spans="1:7">
      <c r="A554" s="1" t="s">
        <v>574</v>
      </c>
      <c r="B554" s="2">
        <v>46169.5</v>
      </c>
      <c r="C554" s="1" t="s">
        <v>8</v>
      </c>
      <c r="D554" s="3">
        <v>0</v>
      </c>
      <c r="E554" s="3">
        <v>3.59</v>
      </c>
      <c r="F554" s="1" t="s">
        <v>15</v>
      </c>
      <c r="G554" s="1" t="str">
        <f>TEXT(RideData[[#This Row],[timestamp]],"hh:mm")</f>
        <v>12:00</v>
      </c>
    </row>
    <row r="555" spans="1:7">
      <c r="A555" s="1" t="s">
        <v>575</v>
      </c>
      <c r="B555" s="2">
        <v>46169.5</v>
      </c>
      <c r="C555" s="1" t="s">
        <v>8</v>
      </c>
      <c r="D555" s="3">
        <v>0</v>
      </c>
      <c r="E555" s="3">
        <v>4.97</v>
      </c>
      <c r="F555" s="1" t="s">
        <v>15</v>
      </c>
      <c r="G555" s="1" t="str">
        <f>TEXT(RideData[[#This Row],[timestamp]],"hh:mm")</f>
        <v>12:00</v>
      </c>
    </row>
    <row r="556" spans="1:7">
      <c r="A556" s="1" t="s">
        <v>576</v>
      </c>
      <c r="B556" s="2">
        <v>46169.5</v>
      </c>
      <c r="C556" s="1" t="s">
        <v>21</v>
      </c>
      <c r="D556" s="3">
        <v>0</v>
      </c>
      <c r="E556" s="3">
        <v>4.27</v>
      </c>
      <c r="F556" s="1" t="s">
        <v>15</v>
      </c>
      <c r="G556" s="1" t="str">
        <f>TEXT(RideData[[#This Row],[timestamp]],"hh:mm")</f>
        <v>12:00</v>
      </c>
    </row>
    <row r="557" spans="1:7">
      <c r="A557" s="1" t="s">
        <v>577</v>
      </c>
      <c r="B557" s="2">
        <v>46169.5</v>
      </c>
      <c r="C557" s="1" t="s">
        <v>12</v>
      </c>
      <c r="D557" s="3">
        <v>778.91</v>
      </c>
      <c r="E557" s="3">
        <v>4.57</v>
      </c>
      <c r="F557" s="1" t="s">
        <v>9</v>
      </c>
      <c r="G557" s="1" t="str">
        <f>TEXT(RideData[[#This Row],[timestamp]],"hh:mm")</f>
        <v>12:00</v>
      </c>
    </row>
    <row r="558" spans="1:7">
      <c r="A558" s="1" t="s">
        <v>578</v>
      </c>
      <c r="B558" s="2">
        <v>46169.5</v>
      </c>
      <c r="C558" s="1" t="s">
        <v>8</v>
      </c>
      <c r="D558" s="3">
        <v>0</v>
      </c>
      <c r="E558" s="3">
        <v>4.52</v>
      </c>
      <c r="F558" s="1" t="s">
        <v>15</v>
      </c>
      <c r="G558" s="1" t="str">
        <f>TEXT(RideData[[#This Row],[timestamp]],"hh:mm")</f>
        <v>12:00</v>
      </c>
    </row>
    <row r="559" spans="1:7">
      <c r="A559" s="1" t="s">
        <v>579</v>
      </c>
      <c r="B559" s="2">
        <v>46169.5</v>
      </c>
      <c r="C559" s="1" t="s">
        <v>21</v>
      </c>
      <c r="D559" s="3">
        <v>976.2</v>
      </c>
      <c r="F559" s="1" t="s">
        <v>9</v>
      </c>
      <c r="G559" s="1" t="str">
        <f>TEXT(RideData[[#This Row],[timestamp]],"hh:mm")</f>
        <v>12:00</v>
      </c>
    </row>
    <row r="560" spans="1:7">
      <c r="A560" s="1" t="s">
        <v>580</v>
      </c>
      <c r="B560" s="2">
        <v>46169.5</v>
      </c>
      <c r="C560" s="1" t="s">
        <v>21</v>
      </c>
      <c r="D560" s="3">
        <v>0</v>
      </c>
      <c r="E560" s="3">
        <v>3.94</v>
      </c>
      <c r="F560" s="1" t="s">
        <v>15</v>
      </c>
      <c r="G560" s="1" t="str">
        <f>TEXT(RideData[[#This Row],[timestamp]],"hh:mm")</f>
        <v>12:00</v>
      </c>
    </row>
    <row r="561" spans="1:7">
      <c r="A561" s="1" t="s">
        <v>581</v>
      </c>
      <c r="B561" s="2">
        <v>46169.5</v>
      </c>
      <c r="C561" s="1" t="s">
        <v>8</v>
      </c>
      <c r="D561" s="3">
        <v>0</v>
      </c>
      <c r="E561" s="3">
        <v>3.72</v>
      </c>
      <c r="F561" s="1" t="s">
        <v>17</v>
      </c>
      <c r="G561" s="1" t="str">
        <f>TEXT(RideData[[#This Row],[timestamp]],"hh:mm")</f>
        <v>12:00</v>
      </c>
    </row>
    <row r="562" spans="1:7">
      <c r="A562" s="1" t="s">
        <v>582</v>
      </c>
      <c r="B562" s="2">
        <v>46169.5</v>
      </c>
      <c r="C562" s="1" t="s">
        <v>12</v>
      </c>
      <c r="D562" s="3">
        <v>0</v>
      </c>
      <c r="E562" s="3">
        <v>4.63</v>
      </c>
      <c r="F562" s="1" t="s">
        <v>17</v>
      </c>
      <c r="G562" s="1" t="str">
        <f>TEXT(RideData[[#This Row],[timestamp]],"hh:mm")</f>
        <v>12:00</v>
      </c>
    </row>
    <row r="563" spans="1:7">
      <c r="A563" s="1" t="s">
        <v>583</v>
      </c>
      <c r="B563" s="2">
        <v>46169.5</v>
      </c>
      <c r="C563" s="1" t="s">
        <v>19</v>
      </c>
      <c r="D563" s="3">
        <v>482.95</v>
      </c>
      <c r="F563" s="1" t="s">
        <v>9</v>
      </c>
      <c r="G563" s="1" t="str">
        <f>TEXT(RideData[[#This Row],[timestamp]],"hh:mm")</f>
        <v>12:00</v>
      </c>
    </row>
    <row r="564" spans="1:7">
      <c r="A564" s="1" t="s">
        <v>584</v>
      </c>
      <c r="B564" s="2">
        <v>46169.5</v>
      </c>
      <c r="C564" s="1" t="s">
        <v>12</v>
      </c>
      <c r="D564" s="3">
        <v>0</v>
      </c>
      <c r="E564" s="3">
        <v>4.91</v>
      </c>
      <c r="F564" s="1" t="s">
        <v>15</v>
      </c>
      <c r="G564" s="1" t="str">
        <f>TEXT(RideData[[#This Row],[timestamp]],"hh:mm")</f>
        <v>12:00</v>
      </c>
    </row>
    <row r="565" spans="1:7">
      <c r="A565" s="1" t="s">
        <v>585</v>
      </c>
      <c r="B565" s="2">
        <v>46169.5</v>
      </c>
      <c r="C565" s="1" t="s">
        <v>21</v>
      </c>
      <c r="D565" s="3">
        <v>0</v>
      </c>
      <c r="E565" s="3">
        <v>4.58</v>
      </c>
      <c r="F565" s="1" t="s">
        <v>15</v>
      </c>
      <c r="G565" s="1" t="str">
        <f>TEXT(RideData[[#This Row],[timestamp]],"hh:mm")</f>
        <v>12:00</v>
      </c>
    </row>
    <row r="566" spans="1:7">
      <c r="A566" s="1" t="s">
        <v>586</v>
      </c>
      <c r="B566" s="2">
        <v>46169.5</v>
      </c>
      <c r="C566" s="1" t="s">
        <v>21</v>
      </c>
      <c r="D566" s="3">
        <v>0</v>
      </c>
      <c r="E566" s="3">
        <v>4.71</v>
      </c>
      <c r="F566" s="1" t="s">
        <v>17</v>
      </c>
      <c r="G566" s="1" t="str">
        <f>TEXT(RideData[[#This Row],[timestamp]],"hh:mm")</f>
        <v>12:00</v>
      </c>
    </row>
    <row r="567" spans="1:7">
      <c r="A567" s="1" t="s">
        <v>587</v>
      </c>
      <c r="B567" s="2">
        <v>46169.5</v>
      </c>
      <c r="C567" s="1" t="s">
        <v>8</v>
      </c>
      <c r="D567" s="3">
        <v>1930.35</v>
      </c>
      <c r="E567" s="3">
        <v>4.6</v>
      </c>
      <c r="F567" s="1" t="s">
        <v>9</v>
      </c>
      <c r="G567" s="1" t="str">
        <f>TEXT(RideData[[#This Row],[timestamp]],"hh:mm")</f>
        <v>12:00</v>
      </c>
    </row>
    <row r="568" spans="1:7">
      <c r="A568" s="1" t="s">
        <v>588</v>
      </c>
      <c r="B568" s="2">
        <v>46169.5</v>
      </c>
      <c r="C568" s="1" t="s">
        <v>21</v>
      </c>
      <c r="D568" s="3">
        <v>963.09</v>
      </c>
      <c r="F568" s="1" t="s">
        <v>9</v>
      </c>
      <c r="G568" s="1" t="str">
        <f>TEXT(RideData[[#This Row],[timestamp]],"hh:mm")</f>
        <v>12:00</v>
      </c>
    </row>
    <row r="569" spans="1:7">
      <c r="A569" s="1" t="s">
        <v>589</v>
      </c>
      <c r="B569" s="2">
        <v>46169.5</v>
      </c>
      <c r="C569" s="1" t="s">
        <v>12</v>
      </c>
      <c r="D569" s="3">
        <v>0</v>
      </c>
      <c r="E569" s="3">
        <v>3.75</v>
      </c>
      <c r="F569" s="1" t="s">
        <v>15</v>
      </c>
      <c r="G569" s="1" t="str">
        <f>TEXT(RideData[[#This Row],[timestamp]],"hh:mm")</f>
        <v>12:00</v>
      </c>
    </row>
    <row r="570" spans="1:7">
      <c r="A570" s="1" t="s">
        <v>590</v>
      </c>
      <c r="B570" s="2">
        <v>46169.5</v>
      </c>
      <c r="C570" s="1" t="s">
        <v>19</v>
      </c>
      <c r="D570" s="3">
        <v>0</v>
      </c>
      <c r="E570" s="3">
        <v>3.78</v>
      </c>
      <c r="F570" s="1" t="s">
        <v>15</v>
      </c>
      <c r="G570" s="1" t="str">
        <f>TEXT(RideData[[#This Row],[timestamp]],"hh:mm")</f>
        <v>12:00</v>
      </c>
    </row>
    <row r="571" spans="1:7">
      <c r="A571" s="1" t="s">
        <v>591</v>
      </c>
      <c r="B571" s="2">
        <v>46169.5</v>
      </c>
      <c r="C571" s="1" t="s">
        <v>8</v>
      </c>
      <c r="D571" s="3">
        <v>1174.97</v>
      </c>
      <c r="E571" s="3">
        <v>4.54</v>
      </c>
      <c r="F571" s="1" t="s">
        <v>9</v>
      </c>
      <c r="G571" s="1" t="str">
        <f>TEXT(RideData[[#This Row],[timestamp]],"hh:mm")</f>
        <v>12:00</v>
      </c>
    </row>
    <row r="572" spans="1:7">
      <c r="A572" s="1" t="s">
        <v>592</v>
      </c>
      <c r="B572" s="2">
        <v>46169.5</v>
      </c>
      <c r="C572" s="1" t="s">
        <v>12</v>
      </c>
      <c r="D572" s="3">
        <v>0</v>
      </c>
      <c r="E572" s="3">
        <v>3.32</v>
      </c>
      <c r="F572" s="1" t="s">
        <v>15</v>
      </c>
      <c r="G572" s="1" t="str">
        <f>TEXT(RideData[[#This Row],[timestamp]],"hh:mm")</f>
        <v>12:00</v>
      </c>
    </row>
    <row r="573" spans="1:7">
      <c r="A573" s="1" t="s">
        <v>593</v>
      </c>
      <c r="B573" s="2">
        <v>46169.5</v>
      </c>
      <c r="C573" s="1" t="s">
        <v>19</v>
      </c>
      <c r="D573" s="3">
        <v>0</v>
      </c>
      <c r="F573" s="1" t="s">
        <v>15</v>
      </c>
      <c r="G573" s="1" t="str">
        <f>TEXT(RideData[[#This Row],[timestamp]],"hh:mm")</f>
        <v>12:00</v>
      </c>
    </row>
    <row r="574" spans="1:7">
      <c r="A574" s="1" t="s">
        <v>594</v>
      </c>
      <c r="B574" s="2">
        <v>46169.50347222222</v>
      </c>
      <c r="C574" s="1" t="s">
        <v>19</v>
      </c>
      <c r="D574" s="3">
        <v>897</v>
      </c>
      <c r="E574" s="3">
        <v>5</v>
      </c>
      <c r="F574" s="1" t="s">
        <v>9</v>
      </c>
      <c r="G574" s="1" t="str">
        <f>TEXT(RideData[[#This Row],[timestamp]],"hh:mm")</f>
        <v>12:05</v>
      </c>
    </row>
    <row r="575" spans="1:7">
      <c r="A575" s="1" t="s">
        <v>596</v>
      </c>
      <c r="B575" s="2">
        <v>46169.50347222222</v>
      </c>
      <c r="C575" s="1" t="s">
        <v>19</v>
      </c>
      <c r="D575" s="3">
        <v>0</v>
      </c>
      <c r="E575" s="3">
        <v>4.64</v>
      </c>
      <c r="F575" s="1" t="s">
        <v>15</v>
      </c>
      <c r="G575" s="1" t="str">
        <f>TEXT(RideData[[#This Row],[timestamp]],"hh:mm")</f>
        <v>12:05</v>
      </c>
    </row>
    <row r="576" spans="1:7">
      <c r="A576" s="1" t="s">
        <v>597</v>
      </c>
      <c r="B576" s="2">
        <v>46169.50347222222</v>
      </c>
      <c r="C576" s="1" t="s">
        <v>8</v>
      </c>
      <c r="D576" s="3">
        <v>1194.14</v>
      </c>
      <c r="E576" s="3">
        <v>3.4</v>
      </c>
      <c r="F576" s="1" t="s">
        <v>9</v>
      </c>
      <c r="G576" s="1" t="str">
        <f>TEXT(RideData[[#This Row],[timestamp]],"hh:mm")</f>
        <v>12:05</v>
      </c>
    </row>
    <row r="577" spans="1:7">
      <c r="A577" s="1" t="s">
        <v>598</v>
      </c>
      <c r="B577" s="2">
        <v>46169.50347222222</v>
      </c>
      <c r="C577" s="1" t="s">
        <v>8</v>
      </c>
      <c r="D577" s="3">
        <v>0</v>
      </c>
      <c r="E577" s="3">
        <v>4.93</v>
      </c>
      <c r="F577" s="1" t="s">
        <v>15</v>
      </c>
      <c r="G577" s="1" t="str">
        <f>TEXT(RideData[[#This Row],[timestamp]],"hh:mm")</f>
        <v>12:05</v>
      </c>
    </row>
    <row r="578" spans="1:7">
      <c r="A578" s="1" t="s">
        <v>599</v>
      </c>
      <c r="B578" s="2">
        <v>46169.50347222222</v>
      </c>
      <c r="C578" s="1" t="s">
        <v>21</v>
      </c>
      <c r="D578" s="3">
        <v>0</v>
      </c>
      <c r="E578" s="3">
        <v>4.34</v>
      </c>
      <c r="F578" s="1" t="s">
        <v>15</v>
      </c>
      <c r="G578" s="1" t="str">
        <f>TEXT(RideData[[#This Row],[timestamp]],"hh:mm")</f>
        <v>12:05</v>
      </c>
    </row>
    <row r="579" spans="1:7">
      <c r="A579" s="1" t="s">
        <v>600</v>
      </c>
      <c r="B579" s="2">
        <v>46169.50347222222</v>
      </c>
      <c r="C579" s="1" t="s">
        <v>21</v>
      </c>
      <c r="D579" s="3">
        <v>0</v>
      </c>
      <c r="E579" s="3">
        <v>4.24</v>
      </c>
      <c r="F579" s="1" t="s">
        <v>15</v>
      </c>
      <c r="G579" s="1" t="str">
        <f>TEXT(RideData[[#This Row],[timestamp]],"hh:mm")</f>
        <v>12:05</v>
      </c>
    </row>
    <row r="580" spans="1:7">
      <c r="A580" s="1" t="s">
        <v>601</v>
      </c>
      <c r="B580" s="2">
        <v>46169.50347222222</v>
      </c>
      <c r="C580" s="1" t="s">
        <v>8</v>
      </c>
      <c r="D580" s="3">
        <v>2779.46</v>
      </c>
      <c r="E580" s="3">
        <v>4.41</v>
      </c>
      <c r="F580" s="1" t="s">
        <v>9</v>
      </c>
      <c r="G580" s="1" t="str">
        <f>TEXT(RideData[[#This Row],[timestamp]],"hh:mm")</f>
        <v>12:05</v>
      </c>
    </row>
    <row r="581" spans="1:7">
      <c r="A581" s="1" t="s">
        <v>602</v>
      </c>
      <c r="B581" s="2">
        <v>46169.50347222222</v>
      </c>
      <c r="C581" s="1" t="s">
        <v>21</v>
      </c>
      <c r="D581" s="3">
        <v>2587.44</v>
      </c>
      <c r="E581" s="3">
        <v>3.75</v>
      </c>
      <c r="F581" s="1" t="s">
        <v>9</v>
      </c>
      <c r="G581" s="1" t="str">
        <f>TEXT(RideData[[#This Row],[timestamp]],"hh:mm")</f>
        <v>12:05</v>
      </c>
    </row>
    <row r="582" spans="1:7">
      <c r="A582" s="1" t="s">
        <v>603</v>
      </c>
      <c r="B582" s="2">
        <v>46169.50347222222</v>
      </c>
      <c r="C582" s="1" t="s">
        <v>12</v>
      </c>
      <c r="D582" s="3">
        <v>1530.81</v>
      </c>
      <c r="E582" s="3">
        <v>4.36</v>
      </c>
      <c r="F582" s="1" t="s">
        <v>9</v>
      </c>
      <c r="G582" s="1" t="str">
        <f>TEXT(RideData[[#This Row],[timestamp]],"hh:mm")</f>
        <v>12:05</v>
      </c>
    </row>
    <row r="583" spans="1:7">
      <c r="A583" s="1" t="s">
        <v>604</v>
      </c>
      <c r="B583" s="2">
        <v>46169.50347222222</v>
      </c>
      <c r="C583" s="1" t="s">
        <v>8</v>
      </c>
      <c r="D583" s="3">
        <v>1363.02</v>
      </c>
      <c r="E583" s="3">
        <v>4.25</v>
      </c>
      <c r="F583" s="1" t="s">
        <v>9</v>
      </c>
      <c r="G583" s="1" t="str">
        <f>TEXT(RideData[[#This Row],[timestamp]],"hh:mm")</f>
        <v>12:05</v>
      </c>
    </row>
    <row r="584" spans="1:7">
      <c r="A584" s="1" t="s">
        <v>605</v>
      </c>
      <c r="B584" s="2">
        <v>46169.50347222222</v>
      </c>
      <c r="C584" s="1" t="s">
        <v>19</v>
      </c>
      <c r="D584" s="3">
        <v>469.23</v>
      </c>
      <c r="E584" s="3">
        <v>4</v>
      </c>
      <c r="F584" s="1" t="s">
        <v>9</v>
      </c>
      <c r="G584" s="1" t="str">
        <f>TEXT(RideData[[#This Row],[timestamp]],"hh:mm")</f>
        <v>12:05</v>
      </c>
    </row>
    <row r="585" spans="1:7">
      <c r="A585" s="1" t="s">
        <v>606</v>
      </c>
      <c r="B585" s="2">
        <v>46169.50347222222</v>
      </c>
      <c r="C585" s="1" t="s">
        <v>21</v>
      </c>
      <c r="D585" s="3">
        <v>1038.65</v>
      </c>
      <c r="E585" s="3">
        <v>3.72</v>
      </c>
      <c r="F585" s="1" t="s">
        <v>9</v>
      </c>
      <c r="G585" s="1" t="str">
        <f>TEXT(RideData[[#This Row],[timestamp]],"hh:mm")</f>
        <v>12:05</v>
      </c>
    </row>
    <row r="586" spans="1:7">
      <c r="A586" s="1" t="s">
        <v>607</v>
      </c>
      <c r="B586" s="2">
        <v>46169.50347222222</v>
      </c>
      <c r="C586" s="1" t="s">
        <v>21</v>
      </c>
      <c r="D586" s="3">
        <v>609.24</v>
      </c>
      <c r="E586" s="3">
        <v>3.17</v>
      </c>
      <c r="F586" s="1" t="s">
        <v>9</v>
      </c>
      <c r="G586" s="1" t="str">
        <f>TEXT(RideData[[#This Row],[timestamp]],"hh:mm")</f>
        <v>12:05</v>
      </c>
    </row>
    <row r="587" spans="1:7">
      <c r="A587" s="1" t="s">
        <v>608</v>
      </c>
      <c r="B587" s="2">
        <v>46169.50347222222</v>
      </c>
      <c r="C587" s="1" t="s">
        <v>12</v>
      </c>
      <c r="D587" s="3">
        <v>0</v>
      </c>
      <c r="F587" s="1" t="s">
        <v>15</v>
      </c>
      <c r="G587" s="1" t="str">
        <f>TEXT(RideData[[#This Row],[timestamp]],"hh:mm")</f>
        <v>12:05</v>
      </c>
    </row>
    <row r="588" spans="1:7">
      <c r="A588" s="1" t="s">
        <v>609</v>
      </c>
      <c r="B588" s="2">
        <v>46169.50347222222</v>
      </c>
      <c r="C588" s="1" t="s">
        <v>19</v>
      </c>
      <c r="D588" s="3">
        <v>2980.2</v>
      </c>
      <c r="E588" s="3">
        <v>3.93</v>
      </c>
      <c r="F588" s="1" t="s">
        <v>9</v>
      </c>
      <c r="G588" s="1" t="str">
        <f>TEXT(RideData[[#This Row],[timestamp]],"hh:mm")</f>
        <v>12:05</v>
      </c>
    </row>
    <row r="589" spans="1:7">
      <c r="A589" s="1" t="s">
        <v>610</v>
      </c>
      <c r="B589" s="2">
        <v>46169.50347222222</v>
      </c>
      <c r="C589" s="1" t="s">
        <v>12</v>
      </c>
      <c r="D589" s="3">
        <v>1681.67</v>
      </c>
      <c r="E589" s="3">
        <v>4.28</v>
      </c>
      <c r="F589" s="1" t="s">
        <v>9</v>
      </c>
      <c r="G589" s="1" t="str">
        <f>TEXT(RideData[[#This Row],[timestamp]],"hh:mm")</f>
        <v>12:05</v>
      </c>
    </row>
    <row r="590" spans="1:7">
      <c r="A590" s="1" t="s">
        <v>611</v>
      </c>
      <c r="B590" s="2">
        <v>46169.50347222222</v>
      </c>
      <c r="C590" s="1" t="s">
        <v>8</v>
      </c>
      <c r="D590" s="3">
        <v>3644.62</v>
      </c>
      <c r="E590" s="3">
        <v>3.8</v>
      </c>
      <c r="F590" s="1" t="s">
        <v>9</v>
      </c>
      <c r="G590" s="1" t="str">
        <f>TEXT(RideData[[#This Row],[timestamp]],"hh:mm")</f>
        <v>12:05</v>
      </c>
    </row>
    <row r="591" spans="1:7">
      <c r="A591" s="1" t="s">
        <v>612</v>
      </c>
      <c r="B591" s="2">
        <v>46169.50347222222</v>
      </c>
      <c r="C591" s="1" t="s">
        <v>12</v>
      </c>
      <c r="D591" s="3">
        <v>1491.93</v>
      </c>
      <c r="E591" s="3">
        <v>3.39</v>
      </c>
      <c r="F591" s="1" t="s">
        <v>9</v>
      </c>
      <c r="G591" s="1" t="str">
        <f>TEXT(RideData[[#This Row],[timestamp]],"hh:mm")</f>
        <v>12:05</v>
      </c>
    </row>
    <row r="592" spans="1:7">
      <c r="A592" s="1" t="s">
        <v>613</v>
      </c>
      <c r="B592" s="2">
        <v>46169.50347222222</v>
      </c>
      <c r="C592" s="1" t="s">
        <v>12</v>
      </c>
      <c r="D592" s="3">
        <v>0</v>
      </c>
      <c r="E592" s="3">
        <v>3.91</v>
      </c>
      <c r="F592" s="1" t="s">
        <v>15</v>
      </c>
      <c r="G592" s="1" t="str">
        <f>TEXT(RideData[[#This Row],[timestamp]],"hh:mm")</f>
        <v>12:05</v>
      </c>
    </row>
    <row r="593" spans="1:7">
      <c r="A593" s="1" t="s">
        <v>614</v>
      </c>
      <c r="B593" s="2">
        <v>46169.50347222222</v>
      </c>
      <c r="C593" s="1" t="s">
        <v>8</v>
      </c>
      <c r="D593" s="3">
        <v>3165.69</v>
      </c>
      <c r="E593" s="3">
        <v>3.61</v>
      </c>
      <c r="F593" s="1" t="s">
        <v>9</v>
      </c>
      <c r="G593" s="1" t="str">
        <f>TEXT(RideData[[#This Row],[timestamp]],"hh:mm")</f>
        <v>12:05</v>
      </c>
    </row>
    <row r="594" spans="1:7">
      <c r="A594" s="1" t="s">
        <v>615</v>
      </c>
      <c r="B594" s="2">
        <v>46169.50347222222</v>
      </c>
      <c r="C594" s="1" t="s">
        <v>8</v>
      </c>
      <c r="D594" s="3">
        <v>646.5599999999999</v>
      </c>
      <c r="E594" s="3">
        <v>4.16</v>
      </c>
      <c r="F594" s="1" t="s">
        <v>9</v>
      </c>
      <c r="G594" s="1" t="str">
        <f>TEXT(RideData[[#This Row],[timestamp]],"hh:mm")</f>
        <v>12:05</v>
      </c>
    </row>
    <row r="595" spans="1:7">
      <c r="A595" s="1" t="s">
        <v>616</v>
      </c>
      <c r="B595" s="2">
        <v>46169.50347222222</v>
      </c>
      <c r="C595" s="1" t="s">
        <v>8</v>
      </c>
      <c r="D595" s="3">
        <v>0</v>
      </c>
      <c r="E595" s="3">
        <v>4.26</v>
      </c>
      <c r="F595" s="1" t="s">
        <v>15</v>
      </c>
      <c r="G595" s="1" t="str">
        <f>TEXT(RideData[[#This Row],[timestamp]],"hh:mm")</f>
        <v>12:05</v>
      </c>
    </row>
    <row r="596" spans="1:7">
      <c r="A596" s="1" t="s">
        <v>617</v>
      </c>
      <c r="B596" s="2">
        <v>46169.50347222222</v>
      </c>
      <c r="C596" s="1" t="s">
        <v>12</v>
      </c>
      <c r="D596" s="3">
        <v>788.6</v>
      </c>
      <c r="E596" s="3">
        <v>5</v>
      </c>
      <c r="F596" s="1" t="s">
        <v>9</v>
      </c>
      <c r="G596" s="1" t="str">
        <f>TEXT(RideData[[#This Row],[timestamp]],"hh:mm")</f>
        <v>12:05</v>
      </c>
    </row>
    <row r="597" spans="1:7">
      <c r="A597" s="1" t="s">
        <v>618</v>
      </c>
      <c r="B597" s="2">
        <v>46169.50347222222</v>
      </c>
      <c r="C597" s="1" t="s">
        <v>8</v>
      </c>
      <c r="D597" s="3">
        <v>0</v>
      </c>
      <c r="E597" s="3">
        <v>3.64</v>
      </c>
      <c r="F597" s="1" t="s">
        <v>15</v>
      </c>
      <c r="G597" s="1" t="str">
        <f>TEXT(RideData[[#This Row],[timestamp]],"hh:mm")</f>
        <v>12:05</v>
      </c>
    </row>
    <row r="598" spans="1:7">
      <c r="A598" s="1" t="s">
        <v>619</v>
      </c>
      <c r="B598" s="2">
        <v>46169.50347222222</v>
      </c>
      <c r="C598" s="1" t="s">
        <v>12</v>
      </c>
      <c r="D598" s="3">
        <v>700.13</v>
      </c>
      <c r="E598" s="3">
        <v>4.53</v>
      </c>
      <c r="F598" s="1" t="s">
        <v>9</v>
      </c>
      <c r="G598" s="1" t="str">
        <f>TEXT(RideData[[#This Row],[timestamp]],"hh:mm")</f>
        <v>12:05</v>
      </c>
    </row>
    <row r="599" spans="1:7">
      <c r="A599" s="1" t="s">
        <v>620</v>
      </c>
      <c r="B599" s="2">
        <v>46169.50347222222</v>
      </c>
      <c r="C599" s="1" t="s">
        <v>19</v>
      </c>
      <c r="D599" s="3">
        <v>1198.88</v>
      </c>
      <c r="E599" s="3">
        <v>3.16</v>
      </c>
      <c r="F599" s="1" t="s">
        <v>9</v>
      </c>
      <c r="G599" s="1" t="str">
        <f>TEXT(RideData[[#This Row],[timestamp]],"hh:mm")</f>
        <v>12:05</v>
      </c>
    </row>
    <row r="600" spans="1:7">
      <c r="A600" s="1" t="s">
        <v>621</v>
      </c>
      <c r="B600" s="2">
        <v>46169.50347222222</v>
      </c>
      <c r="C600" s="1" t="s">
        <v>19</v>
      </c>
      <c r="D600" s="3">
        <v>831.65</v>
      </c>
      <c r="E600" s="3">
        <v>5</v>
      </c>
      <c r="F600" s="1" t="s">
        <v>9</v>
      </c>
      <c r="G600" s="1" t="str">
        <f>TEXT(RideData[[#This Row],[timestamp]],"hh:mm")</f>
        <v>12:05</v>
      </c>
    </row>
    <row r="601" spans="1:7">
      <c r="A601" s="1" t="s">
        <v>622</v>
      </c>
      <c r="B601" s="2">
        <v>46169.50347222222</v>
      </c>
      <c r="C601" s="1" t="s">
        <v>21</v>
      </c>
      <c r="D601" s="3">
        <v>470.89</v>
      </c>
      <c r="E601" s="3">
        <v>3.82</v>
      </c>
      <c r="F601" s="1" t="s">
        <v>9</v>
      </c>
      <c r="G601" s="1" t="str">
        <f>TEXT(RideData[[#This Row],[timestamp]],"hh:mm")</f>
        <v>12:05</v>
      </c>
    </row>
    <row r="602" spans="1:7">
      <c r="A602" s="1" t="s">
        <v>623</v>
      </c>
      <c r="B602" s="2">
        <v>46169.50347222222</v>
      </c>
      <c r="C602" s="1" t="s">
        <v>19</v>
      </c>
      <c r="D602" s="3">
        <v>0</v>
      </c>
      <c r="E602" s="3">
        <v>3.66</v>
      </c>
      <c r="F602" s="1" t="s">
        <v>15</v>
      </c>
      <c r="G602" s="1" t="str">
        <f>TEXT(RideData[[#This Row],[timestamp]],"hh:mm")</f>
        <v>12:05</v>
      </c>
    </row>
    <row r="603" spans="1:7">
      <c r="A603" s="1" t="s">
        <v>624</v>
      </c>
      <c r="B603" s="2">
        <v>46169.50347222222</v>
      </c>
      <c r="C603" s="1" t="s">
        <v>19</v>
      </c>
      <c r="D603" s="3">
        <v>0</v>
      </c>
      <c r="E603" s="3">
        <v>4.75</v>
      </c>
      <c r="F603" s="1" t="s">
        <v>15</v>
      </c>
      <c r="G603" s="1" t="str">
        <f>TEXT(RideData[[#This Row],[timestamp]],"hh:mm")</f>
        <v>12:05</v>
      </c>
    </row>
    <row r="604" spans="1:7">
      <c r="A604" s="1" t="s">
        <v>625</v>
      </c>
      <c r="B604" s="2">
        <v>46169.50347222222</v>
      </c>
      <c r="C604" s="1" t="s">
        <v>21</v>
      </c>
      <c r="D604" s="3">
        <v>1376.02</v>
      </c>
      <c r="E604" s="3">
        <v>3.9</v>
      </c>
      <c r="F604" s="1" t="s">
        <v>9</v>
      </c>
      <c r="G604" s="1" t="str">
        <f>TEXT(RideData[[#This Row],[timestamp]],"hh:mm")</f>
        <v>12:05</v>
      </c>
    </row>
    <row r="605" spans="1:7">
      <c r="A605" s="1" t="s">
        <v>626</v>
      </c>
      <c r="B605" s="2">
        <v>46169.50347222222</v>
      </c>
      <c r="C605" s="1" t="s">
        <v>8</v>
      </c>
      <c r="D605" s="3">
        <v>1224.87</v>
      </c>
      <c r="E605" s="3">
        <v>4.42</v>
      </c>
      <c r="F605" s="1" t="s">
        <v>9</v>
      </c>
      <c r="G605" s="1" t="str">
        <f>TEXT(RideData[[#This Row],[timestamp]],"hh:mm")</f>
        <v>12:05</v>
      </c>
    </row>
    <row r="606" spans="1:7">
      <c r="A606" s="1" t="s">
        <v>627</v>
      </c>
      <c r="B606" s="2">
        <v>46169.50347222222</v>
      </c>
      <c r="C606" s="1" t="s">
        <v>12</v>
      </c>
      <c r="D606" s="3">
        <v>2906.96</v>
      </c>
      <c r="E606" s="3">
        <v>4.59</v>
      </c>
      <c r="F606" s="1" t="s">
        <v>9</v>
      </c>
      <c r="G606" s="1" t="str">
        <f>TEXT(RideData[[#This Row],[timestamp]],"hh:mm")</f>
        <v>12:05</v>
      </c>
    </row>
    <row r="607" spans="1:7">
      <c r="A607" s="1" t="s">
        <v>628</v>
      </c>
      <c r="B607" s="2">
        <v>46169.50347222222</v>
      </c>
      <c r="C607" s="1" t="s">
        <v>19</v>
      </c>
      <c r="D607" s="3">
        <v>552.98</v>
      </c>
      <c r="E607" s="3">
        <v>3.82</v>
      </c>
      <c r="F607" s="1" t="s">
        <v>9</v>
      </c>
      <c r="G607" s="1" t="str">
        <f>TEXT(RideData[[#This Row],[timestamp]],"hh:mm")</f>
        <v>12:05</v>
      </c>
    </row>
    <row r="608" spans="1:7">
      <c r="A608" s="1" t="s">
        <v>629</v>
      </c>
      <c r="B608" s="2">
        <v>46169.50347222222</v>
      </c>
      <c r="C608" s="1" t="s">
        <v>12</v>
      </c>
      <c r="D608" s="3">
        <v>0</v>
      </c>
      <c r="E608" s="3">
        <v>3.63</v>
      </c>
      <c r="F608" s="1" t="s">
        <v>15</v>
      </c>
      <c r="G608" s="1" t="str">
        <f>TEXT(RideData[[#This Row],[timestamp]],"hh:mm")</f>
        <v>12:05</v>
      </c>
    </row>
    <row r="609" spans="1:7">
      <c r="A609" s="1" t="s">
        <v>630</v>
      </c>
      <c r="B609" s="2">
        <v>46169.50347222222</v>
      </c>
      <c r="C609" s="1" t="s">
        <v>12</v>
      </c>
      <c r="D609" s="3">
        <v>642.96</v>
      </c>
      <c r="E609" s="3">
        <v>4.7</v>
      </c>
      <c r="F609" s="1" t="s">
        <v>9</v>
      </c>
      <c r="G609" s="1" t="str">
        <f>TEXT(RideData[[#This Row],[timestamp]],"hh:mm")</f>
        <v>12:05</v>
      </c>
    </row>
    <row r="610" spans="1:7">
      <c r="A610" s="1" t="s">
        <v>631</v>
      </c>
      <c r="B610" s="2">
        <v>46169.50347222222</v>
      </c>
      <c r="C610" s="1" t="s">
        <v>21</v>
      </c>
      <c r="D610" s="3">
        <v>855.96</v>
      </c>
      <c r="E610" s="3">
        <v>4.42</v>
      </c>
      <c r="F610" s="1" t="s">
        <v>9</v>
      </c>
      <c r="G610" s="1" t="str">
        <f>TEXT(RideData[[#This Row],[timestamp]],"hh:mm")</f>
        <v>12:05</v>
      </c>
    </row>
    <row r="611" spans="1:7">
      <c r="A611" s="1" t="s">
        <v>632</v>
      </c>
      <c r="B611" s="2">
        <v>46169.50347222222</v>
      </c>
      <c r="C611" s="1" t="s">
        <v>12</v>
      </c>
      <c r="D611" s="3">
        <v>0</v>
      </c>
      <c r="E611" s="3">
        <v>3.62</v>
      </c>
      <c r="F611" s="1" t="s">
        <v>17</v>
      </c>
      <c r="G611" s="1" t="str">
        <f>TEXT(RideData[[#This Row],[timestamp]],"hh:mm")</f>
        <v>12:05</v>
      </c>
    </row>
    <row r="612" spans="1:7">
      <c r="A612" s="1" t="s">
        <v>633</v>
      </c>
      <c r="B612" s="2">
        <v>46169.50347222222</v>
      </c>
      <c r="C612" s="1" t="s">
        <v>21</v>
      </c>
      <c r="D612" s="3">
        <v>1312.91</v>
      </c>
      <c r="E612" s="3">
        <v>4.93</v>
      </c>
      <c r="F612" s="1" t="s">
        <v>9</v>
      </c>
      <c r="G612" s="1" t="str">
        <f>TEXT(RideData[[#This Row],[timestamp]],"hh:mm")</f>
        <v>12:05</v>
      </c>
    </row>
    <row r="613" spans="1:7">
      <c r="A613" s="1" t="s">
        <v>634</v>
      </c>
      <c r="B613" s="2">
        <v>46169.50347222222</v>
      </c>
      <c r="C613" s="1" t="s">
        <v>21</v>
      </c>
      <c r="D613" s="3">
        <v>724.28</v>
      </c>
      <c r="E613" s="3">
        <v>4.18</v>
      </c>
      <c r="F613" s="1" t="s">
        <v>9</v>
      </c>
      <c r="G613" s="1" t="str">
        <f>TEXT(RideData[[#This Row],[timestamp]],"hh:mm")</f>
        <v>12:05</v>
      </c>
    </row>
    <row r="614" spans="1:7">
      <c r="A614" s="1" t="s">
        <v>635</v>
      </c>
      <c r="B614" s="2">
        <v>46169.50347222222</v>
      </c>
      <c r="C614" s="1" t="s">
        <v>19</v>
      </c>
      <c r="D614" s="3">
        <v>0</v>
      </c>
      <c r="E614" s="3">
        <v>3.61</v>
      </c>
      <c r="F614" s="1" t="s">
        <v>17</v>
      </c>
      <c r="G614" s="1" t="str">
        <f>TEXT(RideData[[#This Row],[timestamp]],"hh:mm")</f>
        <v>12:05</v>
      </c>
    </row>
    <row r="615" spans="1:7">
      <c r="A615" s="1" t="s">
        <v>636</v>
      </c>
      <c r="B615" s="2">
        <v>46169.50347222222</v>
      </c>
      <c r="C615" s="1" t="s">
        <v>12</v>
      </c>
      <c r="D615" s="3">
        <v>0</v>
      </c>
      <c r="E615" s="3">
        <v>3.96</v>
      </c>
      <c r="F615" s="1" t="s">
        <v>15</v>
      </c>
      <c r="G615" s="1" t="str">
        <f>TEXT(RideData[[#This Row],[timestamp]],"hh:mm")</f>
        <v>12:05</v>
      </c>
    </row>
    <row r="616" spans="1:7">
      <c r="A616" s="1" t="s">
        <v>637</v>
      </c>
      <c r="B616" s="2">
        <v>46169.50347222222</v>
      </c>
      <c r="C616" s="1" t="s">
        <v>12</v>
      </c>
      <c r="D616" s="3">
        <v>0</v>
      </c>
      <c r="F616" s="1" t="s">
        <v>15</v>
      </c>
      <c r="G616" s="1" t="str">
        <f>TEXT(RideData[[#This Row],[timestamp]],"hh:mm")</f>
        <v>12:05</v>
      </c>
    </row>
    <row r="617" spans="1:7">
      <c r="A617" s="1" t="s">
        <v>638</v>
      </c>
      <c r="B617" s="2">
        <v>46169.50347222222</v>
      </c>
      <c r="C617" s="1" t="s">
        <v>19</v>
      </c>
      <c r="D617" s="3">
        <v>1381.41</v>
      </c>
      <c r="E617" s="3">
        <v>3.56</v>
      </c>
      <c r="F617" s="1" t="s">
        <v>9</v>
      </c>
      <c r="G617" s="1" t="str">
        <f>TEXT(RideData[[#This Row],[timestamp]],"hh:mm")</f>
        <v>12:05</v>
      </c>
    </row>
    <row r="618" spans="1:7">
      <c r="A618" s="1" t="s">
        <v>639</v>
      </c>
      <c r="B618" s="2">
        <v>46169.50347222222</v>
      </c>
      <c r="C618" s="1" t="s">
        <v>21</v>
      </c>
      <c r="D618" s="3">
        <v>573.58</v>
      </c>
      <c r="E618" s="3">
        <v>3.91</v>
      </c>
      <c r="F618" s="1" t="s">
        <v>9</v>
      </c>
      <c r="G618" s="1" t="str">
        <f>TEXT(RideData[[#This Row],[timestamp]],"hh:mm")</f>
        <v>12:05</v>
      </c>
    </row>
    <row r="619" spans="1:7">
      <c r="A619" s="1" t="s">
        <v>640</v>
      </c>
      <c r="B619" s="2">
        <v>46169.50347222222</v>
      </c>
      <c r="C619" s="1" t="s">
        <v>19</v>
      </c>
      <c r="D619" s="3">
        <v>0</v>
      </c>
      <c r="E619" s="3">
        <v>4.18</v>
      </c>
      <c r="F619" s="1" t="s">
        <v>17</v>
      </c>
      <c r="G619" s="1" t="str">
        <f>TEXT(RideData[[#This Row],[timestamp]],"hh:mm")</f>
        <v>12:05</v>
      </c>
    </row>
    <row r="620" spans="1:7">
      <c r="A620" s="1" t="s">
        <v>641</v>
      </c>
      <c r="B620" s="2">
        <v>46169.50347222222</v>
      </c>
      <c r="C620" s="1" t="s">
        <v>19</v>
      </c>
      <c r="D620" s="3">
        <v>1244.48</v>
      </c>
      <c r="E620" s="3">
        <v>3.46</v>
      </c>
      <c r="F620" s="1" t="s">
        <v>9</v>
      </c>
      <c r="G620" s="1" t="str">
        <f>TEXT(RideData[[#This Row],[timestamp]],"hh:mm")</f>
        <v>12:05</v>
      </c>
    </row>
    <row r="621" spans="1:7">
      <c r="A621" s="1" t="s">
        <v>642</v>
      </c>
      <c r="B621" s="2">
        <v>46169.50347222222</v>
      </c>
      <c r="C621" s="1" t="s">
        <v>12</v>
      </c>
      <c r="D621" s="3">
        <v>1045.96</v>
      </c>
      <c r="E621" s="3">
        <v>3.93</v>
      </c>
      <c r="F621" s="1" t="s">
        <v>9</v>
      </c>
      <c r="G621" s="1" t="str">
        <f>TEXT(RideData[[#This Row],[timestamp]],"hh:mm")</f>
        <v>12:05</v>
      </c>
    </row>
    <row r="622" spans="1:7">
      <c r="A622" s="1" t="s">
        <v>643</v>
      </c>
      <c r="B622" s="2">
        <v>46169.50347222222</v>
      </c>
      <c r="C622" s="1" t="s">
        <v>8</v>
      </c>
      <c r="D622" s="3">
        <v>577.64</v>
      </c>
      <c r="E622" s="3">
        <v>2.92</v>
      </c>
      <c r="F622" s="1" t="s">
        <v>9</v>
      </c>
      <c r="G622" s="1" t="str">
        <f>TEXT(RideData[[#This Row],[timestamp]],"hh:mm")</f>
        <v>12:05</v>
      </c>
    </row>
    <row r="623" spans="1:7">
      <c r="A623" s="1" t="s">
        <v>644</v>
      </c>
      <c r="B623" s="2">
        <v>46169.50347222222</v>
      </c>
      <c r="C623" s="1" t="s">
        <v>19</v>
      </c>
      <c r="D623" s="3">
        <v>1055.94</v>
      </c>
      <c r="E623" s="3">
        <v>4.33</v>
      </c>
      <c r="F623" s="1" t="s">
        <v>9</v>
      </c>
      <c r="G623" s="1" t="str">
        <f>TEXT(RideData[[#This Row],[timestamp]],"hh:mm")</f>
        <v>12:05</v>
      </c>
    </row>
    <row r="624" spans="1:7">
      <c r="A624" s="1" t="s">
        <v>645</v>
      </c>
      <c r="B624" s="2">
        <v>46169.50347222222</v>
      </c>
      <c r="C624" s="1" t="s">
        <v>8</v>
      </c>
      <c r="D624" s="3">
        <v>1461.62</v>
      </c>
      <c r="E624" s="3">
        <v>3.7</v>
      </c>
      <c r="F624" s="1" t="s">
        <v>9</v>
      </c>
      <c r="G624" s="1" t="str">
        <f>TEXT(RideData[[#This Row],[timestamp]],"hh:mm")</f>
        <v>12:05</v>
      </c>
    </row>
    <row r="625" spans="1:7">
      <c r="A625" s="1" t="s">
        <v>646</v>
      </c>
      <c r="B625" s="2">
        <v>46169.50347222222</v>
      </c>
      <c r="C625" s="1" t="s">
        <v>12</v>
      </c>
      <c r="D625" s="3">
        <v>899.3200000000001</v>
      </c>
      <c r="F625" s="1" t="s">
        <v>9</v>
      </c>
      <c r="G625" s="1" t="str">
        <f>TEXT(RideData[[#This Row],[timestamp]],"hh:mm")</f>
        <v>12:05</v>
      </c>
    </row>
    <row r="626" spans="1:7">
      <c r="A626" s="1" t="s">
        <v>647</v>
      </c>
      <c r="B626" s="2">
        <v>46169.50347222222</v>
      </c>
      <c r="C626" s="1" t="s">
        <v>8</v>
      </c>
      <c r="D626" s="3">
        <v>0</v>
      </c>
      <c r="E626" s="3">
        <v>4.6</v>
      </c>
      <c r="F626" s="1" t="s">
        <v>15</v>
      </c>
      <c r="G626" s="1" t="str">
        <f>TEXT(RideData[[#This Row],[timestamp]],"hh:mm")</f>
        <v>12:05</v>
      </c>
    </row>
    <row r="627" spans="1:7">
      <c r="A627" s="1" t="s">
        <v>648</v>
      </c>
      <c r="B627" s="2">
        <v>46169.50347222222</v>
      </c>
      <c r="C627" s="1" t="s">
        <v>19</v>
      </c>
      <c r="D627" s="3">
        <v>1122.27</v>
      </c>
      <c r="E627" s="3">
        <v>4.33</v>
      </c>
      <c r="F627" s="1" t="s">
        <v>9</v>
      </c>
      <c r="G627" s="1" t="str">
        <f>TEXT(RideData[[#This Row],[timestamp]],"hh:mm")</f>
        <v>12:05</v>
      </c>
    </row>
    <row r="628" spans="1:7">
      <c r="A628" s="1" t="s">
        <v>649</v>
      </c>
      <c r="B628" s="2">
        <v>46169.50347222222</v>
      </c>
      <c r="C628" s="1" t="s">
        <v>21</v>
      </c>
      <c r="D628" s="3">
        <v>919.14</v>
      </c>
      <c r="E628" s="3">
        <v>4.45</v>
      </c>
      <c r="F628" s="1" t="s">
        <v>9</v>
      </c>
      <c r="G628" s="1" t="str">
        <f>TEXT(RideData[[#This Row],[timestamp]],"hh:mm")</f>
        <v>12:05</v>
      </c>
    </row>
    <row r="629" spans="1:7">
      <c r="A629" s="1" t="s">
        <v>650</v>
      </c>
      <c r="B629" s="2">
        <v>46169.50347222222</v>
      </c>
      <c r="C629" s="1" t="s">
        <v>21</v>
      </c>
      <c r="D629" s="3">
        <v>1611.75</v>
      </c>
      <c r="E629" s="3">
        <v>4.27</v>
      </c>
      <c r="F629" s="1" t="s">
        <v>9</v>
      </c>
      <c r="G629" s="1" t="str">
        <f>TEXT(RideData[[#This Row],[timestamp]],"hh:mm")</f>
        <v>12:05</v>
      </c>
    </row>
    <row r="630" spans="1:7">
      <c r="A630" s="1" t="s">
        <v>651</v>
      </c>
      <c r="B630" s="2">
        <v>46169.50347222222</v>
      </c>
      <c r="C630" s="1" t="s">
        <v>12</v>
      </c>
      <c r="D630" s="3">
        <v>0</v>
      </c>
      <c r="E630" s="3">
        <v>4.51</v>
      </c>
      <c r="F630" s="1" t="s">
        <v>15</v>
      </c>
      <c r="G630" s="1" t="str">
        <f>TEXT(RideData[[#This Row],[timestamp]],"hh:mm")</f>
        <v>12:05</v>
      </c>
    </row>
    <row r="631" spans="1:7">
      <c r="A631" s="1" t="s">
        <v>652</v>
      </c>
      <c r="B631" s="2">
        <v>46169.50347222222</v>
      </c>
      <c r="C631" s="1" t="s">
        <v>21</v>
      </c>
      <c r="D631" s="3">
        <v>1874.62</v>
      </c>
      <c r="E631" s="3">
        <v>4.76</v>
      </c>
      <c r="F631" s="1" t="s">
        <v>9</v>
      </c>
      <c r="G631" s="1" t="str">
        <f>TEXT(RideData[[#This Row],[timestamp]],"hh:mm")</f>
        <v>12:05</v>
      </c>
    </row>
    <row r="632" spans="1:7">
      <c r="A632" s="1" t="s">
        <v>653</v>
      </c>
      <c r="B632" s="2">
        <v>46169.50347222222</v>
      </c>
      <c r="C632" s="1" t="s">
        <v>12</v>
      </c>
      <c r="D632" s="3">
        <v>1132.48</v>
      </c>
      <c r="E632" s="3">
        <v>3.72</v>
      </c>
      <c r="F632" s="1" t="s">
        <v>9</v>
      </c>
      <c r="G632" s="1" t="str">
        <f>TEXT(RideData[[#This Row],[timestamp]],"hh:mm")</f>
        <v>12:05</v>
      </c>
    </row>
    <row r="633" spans="1:7">
      <c r="A633" s="1" t="s">
        <v>654</v>
      </c>
      <c r="B633" s="2">
        <v>46169.50347222222</v>
      </c>
      <c r="C633" s="1" t="s">
        <v>19</v>
      </c>
      <c r="D633" s="3">
        <v>1079.01</v>
      </c>
      <c r="E633" s="3">
        <v>5</v>
      </c>
      <c r="F633" s="1" t="s">
        <v>9</v>
      </c>
      <c r="G633" s="1" t="str">
        <f>TEXT(RideData[[#This Row],[timestamp]],"hh:mm")</f>
        <v>12:05</v>
      </c>
    </row>
    <row r="634" spans="1:7">
      <c r="A634" s="1" t="s">
        <v>655</v>
      </c>
      <c r="B634" s="2">
        <v>46169.50347222222</v>
      </c>
      <c r="C634" s="1" t="s">
        <v>8</v>
      </c>
      <c r="D634" s="3">
        <v>802.4299999999999</v>
      </c>
      <c r="E634" s="3">
        <v>3.44</v>
      </c>
      <c r="F634" s="1" t="s">
        <v>9</v>
      </c>
      <c r="G634" s="1" t="str">
        <f>TEXT(RideData[[#This Row],[timestamp]],"hh:mm")</f>
        <v>12:05</v>
      </c>
    </row>
    <row r="635" spans="1:7">
      <c r="A635" s="1" t="s">
        <v>656</v>
      </c>
      <c r="B635" s="2">
        <v>46169.50347222222</v>
      </c>
      <c r="C635" s="1" t="s">
        <v>12</v>
      </c>
      <c r="D635" s="3">
        <v>1842.16</v>
      </c>
      <c r="E635" s="3">
        <v>3.52</v>
      </c>
      <c r="F635" s="1" t="s">
        <v>9</v>
      </c>
      <c r="G635" s="1" t="str">
        <f>TEXT(RideData[[#This Row],[timestamp]],"hh:mm")</f>
        <v>12:05</v>
      </c>
    </row>
    <row r="636" spans="1:7">
      <c r="A636" s="1" t="s">
        <v>657</v>
      </c>
      <c r="B636" s="2">
        <v>46169.50347222222</v>
      </c>
      <c r="C636" s="1" t="s">
        <v>12</v>
      </c>
      <c r="D636" s="3">
        <v>758.35</v>
      </c>
      <c r="E636" s="3">
        <v>4.64</v>
      </c>
      <c r="F636" s="1" t="s">
        <v>9</v>
      </c>
      <c r="G636" s="1" t="str">
        <f>TEXT(RideData[[#This Row],[timestamp]],"hh:mm")</f>
        <v>12:05</v>
      </c>
    </row>
    <row r="637" spans="1:7">
      <c r="A637" s="1" t="s">
        <v>658</v>
      </c>
      <c r="B637" s="2">
        <v>46169.50347222222</v>
      </c>
      <c r="C637" s="1" t="s">
        <v>8</v>
      </c>
      <c r="D637" s="3">
        <v>2601.41</v>
      </c>
      <c r="E637" s="3">
        <v>3.45</v>
      </c>
      <c r="F637" s="1" t="s">
        <v>9</v>
      </c>
      <c r="G637" s="1" t="str">
        <f>TEXT(RideData[[#This Row],[timestamp]],"hh:mm")</f>
        <v>12:05</v>
      </c>
    </row>
    <row r="638" spans="1:7">
      <c r="A638" s="1" t="s">
        <v>659</v>
      </c>
      <c r="B638" s="2">
        <v>46169.50347222222</v>
      </c>
      <c r="C638" s="1" t="s">
        <v>19</v>
      </c>
      <c r="D638" s="3">
        <v>2622.89</v>
      </c>
      <c r="E638" s="3">
        <v>3.7</v>
      </c>
      <c r="F638" s="1" t="s">
        <v>9</v>
      </c>
      <c r="G638" s="1" t="str">
        <f>TEXT(RideData[[#This Row],[timestamp]],"hh:mm")</f>
        <v>12:05</v>
      </c>
    </row>
    <row r="639" spans="1:7">
      <c r="A639" s="1" t="s">
        <v>660</v>
      </c>
      <c r="B639" s="2">
        <v>46169.50347222222</v>
      </c>
      <c r="C639" s="1" t="s">
        <v>19</v>
      </c>
      <c r="D639" s="3">
        <v>1396.48</v>
      </c>
      <c r="E639" s="3">
        <v>4.81</v>
      </c>
      <c r="F639" s="1" t="s">
        <v>9</v>
      </c>
      <c r="G639" s="1" t="str">
        <f>TEXT(RideData[[#This Row],[timestamp]],"hh:mm")</f>
        <v>12:05</v>
      </c>
    </row>
    <row r="640" spans="1:7">
      <c r="A640" s="1" t="s">
        <v>661</v>
      </c>
      <c r="B640" s="2">
        <v>46169.50347222222</v>
      </c>
      <c r="C640" s="1" t="s">
        <v>8</v>
      </c>
      <c r="D640" s="3">
        <v>3195.76</v>
      </c>
      <c r="E640" s="3">
        <v>4.5</v>
      </c>
      <c r="F640" s="1" t="s">
        <v>9</v>
      </c>
      <c r="G640" s="1" t="str">
        <f>TEXT(RideData[[#This Row],[timestamp]],"hh:mm")</f>
        <v>12:05</v>
      </c>
    </row>
    <row r="641" spans="1:7">
      <c r="A641" s="1" t="s">
        <v>662</v>
      </c>
      <c r="B641" s="2">
        <v>46169.50694444445</v>
      </c>
      <c r="C641" s="1" t="s">
        <v>8</v>
      </c>
      <c r="D641" s="3">
        <v>1548.2</v>
      </c>
      <c r="F641" s="1" t="s">
        <v>9</v>
      </c>
      <c r="G641" s="1" t="str">
        <f>TEXT(RideData[[#This Row],[timestamp]],"hh:mm")</f>
        <v>12:10</v>
      </c>
    </row>
    <row r="642" spans="1:7">
      <c r="A642" s="1" t="s">
        <v>664</v>
      </c>
      <c r="B642" s="2">
        <v>46169.50694444445</v>
      </c>
      <c r="C642" s="1" t="s">
        <v>12</v>
      </c>
      <c r="D642" s="3">
        <v>0</v>
      </c>
      <c r="E642" s="3">
        <v>4.42</v>
      </c>
      <c r="F642" s="1" t="s">
        <v>15</v>
      </c>
      <c r="G642" s="1" t="str">
        <f>TEXT(RideData[[#This Row],[timestamp]],"hh:mm")</f>
        <v>12:10</v>
      </c>
    </row>
    <row r="643" spans="1:7">
      <c r="A643" s="1" t="s">
        <v>665</v>
      </c>
      <c r="B643" s="2">
        <v>46169.50694444445</v>
      </c>
      <c r="C643" s="1" t="s">
        <v>8</v>
      </c>
      <c r="D643" s="3">
        <v>1676.61</v>
      </c>
      <c r="E643" s="3">
        <v>3.92</v>
      </c>
      <c r="F643" s="1" t="s">
        <v>9</v>
      </c>
      <c r="G643" s="1" t="str">
        <f>TEXT(RideData[[#This Row],[timestamp]],"hh:mm")</f>
        <v>12:10</v>
      </c>
    </row>
    <row r="644" spans="1:7">
      <c r="A644" s="1" t="s">
        <v>666</v>
      </c>
      <c r="B644" s="2">
        <v>46169.50694444445</v>
      </c>
      <c r="C644" s="1" t="s">
        <v>12</v>
      </c>
      <c r="D644" s="3">
        <v>369.31</v>
      </c>
      <c r="E644" s="3">
        <v>2.49</v>
      </c>
      <c r="F644" s="1" t="s">
        <v>9</v>
      </c>
      <c r="G644" s="1" t="str">
        <f>TEXT(RideData[[#This Row],[timestamp]],"hh:mm")</f>
        <v>12:10</v>
      </c>
    </row>
    <row r="645" spans="1:7">
      <c r="A645" s="1" t="s">
        <v>667</v>
      </c>
      <c r="B645" s="2">
        <v>46169.50694444445</v>
      </c>
      <c r="C645" s="1" t="s">
        <v>21</v>
      </c>
      <c r="D645" s="3">
        <v>3177</v>
      </c>
      <c r="E645" s="3">
        <v>3.78</v>
      </c>
      <c r="F645" s="1" t="s">
        <v>9</v>
      </c>
      <c r="G645" s="1" t="str">
        <f>TEXT(RideData[[#This Row],[timestamp]],"hh:mm")</f>
        <v>12:10</v>
      </c>
    </row>
    <row r="646" spans="1:7">
      <c r="A646" s="1" t="s">
        <v>668</v>
      </c>
      <c r="B646" s="2">
        <v>46169.50694444445</v>
      </c>
      <c r="C646" s="1" t="s">
        <v>12</v>
      </c>
      <c r="D646" s="3">
        <v>1560.95</v>
      </c>
      <c r="F646" s="1" t="s">
        <v>9</v>
      </c>
      <c r="G646" s="1" t="str">
        <f>TEXT(RideData[[#This Row],[timestamp]],"hh:mm")</f>
        <v>12:10</v>
      </c>
    </row>
    <row r="647" spans="1:7">
      <c r="A647" s="1" t="s">
        <v>669</v>
      </c>
      <c r="B647" s="2">
        <v>46169.50694444445</v>
      </c>
      <c r="C647" s="1" t="s">
        <v>12</v>
      </c>
      <c r="D647" s="3">
        <v>3348.12</v>
      </c>
      <c r="E647" s="3">
        <v>4.04</v>
      </c>
      <c r="F647" s="1" t="s">
        <v>9</v>
      </c>
      <c r="G647" s="1" t="str">
        <f>TEXT(RideData[[#This Row],[timestamp]],"hh:mm")</f>
        <v>12:10</v>
      </c>
    </row>
    <row r="648" spans="1:7">
      <c r="A648" s="1" t="s">
        <v>670</v>
      </c>
      <c r="B648" s="2">
        <v>46169.50694444445</v>
      </c>
      <c r="C648" s="1" t="s">
        <v>21</v>
      </c>
      <c r="D648" s="3">
        <v>1826.89</v>
      </c>
      <c r="F648" s="1" t="s">
        <v>9</v>
      </c>
      <c r="G648" s="1" t="str">
        <f>TEXT(RideData[[#This Row],[timestamp]],"hh:mm")</f>
        <v>12:10</v>
      </c>
    </row>
    <row r="649" spans="1:7">
      <c r="A649" s="1" t="s">
        <v>671</v>
      </c>
      <c r="B649" s="2">
        <v>46169.50694444445</v>
      </c>
      <c r="C649" s="1" t="s">
        <v>12</v>
      </c>
      <c r="D649" s="3">
        <v>1888.55</v>
      </c>
      <c r="E649" s="3">
        <v>4.03</v>
      </c>
      <c r="F649" s="1" t="s">
        <v>9</v>
      </c>
      <c r="G649" s="1" t="str">
        <f>TEXT(RideData[[#This Row],[timestamp]],"hh:mm")</f>
        <v>12:10</v>
      </c>
    </row>
    <row r="650" spans="1:7">
      <c r="A650" s="1" t="s">
        <v>672</v>
      </c>
      <c r="B650" s="2">
        <v>46169.50694444445</v>
      </c>
      <c r="C650" s="1" t="s">
        <v>21</v>
      </c>
      <c r="D650" s="3">
        <v>941.74</v>
      </c>
      <c r="E650" s="3">
        <v>4.11</v>
      </c>
      <c r="F650" s="1" t="s">
        <v>9</v>
      </c>
      <c r="G650" s="1" t="str">
        <f>TEXT(RideData[[#This Row],[timestamp]],"hh:mm")</f>
        <v>12:10</v>
      </c>
    </row>
    <row r="651" spans="1:7">
      <c r="A651" s="1" t="s">
        <v>673</v>
      </c>
      <c r="B651" s="2">
        <v>46169.50694444445</v>
      </c>
      <c r="C651" s="1" t="s">
        <v>19</v>
      </c>
      <c r="D651" s="3">
        <v>1865.83</v>
      </c>
      <c r="E651" s="3">
        <v>3.58</v>
      </c>
      <c r="F651" s="1" t="s">
        <v>9</v>
      </c>
      <c r="G651" s="1" t="str">
        <f>TEXT(RideData[[#This Row],[timestamp]],"hh:mm")</f>
        <v>12:10</v>
      </c>
    </row>
    <row r="652" spans="1:7">
      <c r="A652" s="1" t="s">
        <v>674</v>
      </c>
      <c r="B652" s="2">
        <v>46169.50694444445</v>
      </c>
      <c r="C652" s="1" t="s">
        <v>19</v>
      </c>
      <c r="D652" s="3">
        <v>1821.56</v>
      </c>
      <c r="E652" s="3">
        <v>3.94</v>
      </c>
      <c r="F652" s="1" t="s">
        <v>9</v>
      </c>
      <c r="G652" s="1" t="str">
        <f>TEXT(RideData[[#This Row],[timestamp]],"hh:mm")</f>
        <v>12:10</v>
      </c>
    </row>
    <row r="653" spans="1:7">
      <c r="A653" s="1" t="s">
        <v>675</v>
      </c>
      <c r="B653" s="2">
        <v>46169.50694444445</v>
      </c>
      <c r="C653" s="1" t="s">
        <v>19</v>
      </c>
      <c r="D653" s="3">
        <v>0</v>
      </c>
      <c r="E653" s="3">
        <v>2.91</v>
      </c>
      <c r="F653" s="1" t="s">
        <v>15</v>
      </c>
      <c r="G653" s="1" t="str">
        <f>TEXT(RideData[[#This Row],[timestamp]],"hh:mm")</f>
        <v>12:10</v>
      </c>
    </row>
    <row r="654" spans="1:7">
      <c r="A654" s="1" t="s">
        <v>676</v>
      </c>
      <c r="B654" s="2">
        <v>46169.50694444445</v>
      </c>
      <c r="C654" s="1" t="s">
        <v>12</v>
      </c>
      <c r="D654" s="3">
        <v>1732.08</v>
      </c>
      <c r="F654" s="1" t="s">
        <v>9</v>
      </c>
      <c r="G654" s="1" t="str">
        <f>TEXT(RideData[[#This Row],[timestamp]],"hh:mm")</f>
        <v>12:10</v>
      </c>
    </row>
    <row r="655" spans="1:7">
      <c r="A655" s="1" t="s">
        <v>677</v>
      </c>
      <c r="B655" s="2">
        <v>46169.50694444445</v>
      </c>
      <c r="C655" s="1" t="s">
        <v>21</v>
      </c>
      <c r="D655" s="3">
        <v>813.04</v>
      </c>
      <c r="E655" s="3">
        <v>4.65</v>
      </c>
      <c r="F655" s="1" t="s">
        <v>9</v>
      </c>
      <c r="G655" s="1" t="str">
        <f>TEXT(RideData[[#This Row],[timestamp]],"hh:mm")</f>
        <v>12:10</v>
      </c>
    </row>
    <row r="656" spans="1:7">
      <c r="A656" s="1" t="s">
        <v>678</v>
      </c>
      <c r="B656" s="2">
        <v>46169.50694444445</v>
      </c>
      <c r="C656" s="1" t="s">
        <v>8</v>
      </c>
      <c r="D656" s="3">
        <v>1027.89</v>
      </c>
      <c r="E656" s="3">
        <v>3.12</v>
      </c>
      <c r="F656" s="1" t="s">
        <v>9</v>
      </c>
      <c r="G656" s="1" t="str">
        <f>TEXT(RideData[[#This Row],[timestamp]],"hh:mm")</f>
        <v>12:10</v>
      </c>
    </row>
    <row r="657" spans="1:7">
      <c r="A657" s="1" t="s">
        <v>679</v>
      </c>
      <c r="B657" s="2">
        <v>46169.50694444445</v>
      </c>
      <c r="C657" s="1" t="s">
        <v>12</v>
      </c>
      <c r="D657" s="3">
        <v>0</v>
      </c>
      <c r="E657" s="3">
        <v>3.51</v>
      </c>
      <c r="F657" s="1" t="s">
        <v>17</v>
      </c>
      <c r="G657" s="1" t="str">
        <f>TEXT(RideData[[#This Row],[timestamp]],"hh:mm")</f>
        <v>12:10</v>
      </c>
    </row>
    <row r="658" spans="1:7">
      <c r="A658" s="1" t="s">
        <v>680</v>
      </c>
      <c r="B658" s="2">
        <v>46169.50694444445</v>
      </c>
      <c r="C658" s="1" t="s">
        <v>19</v>
      </c>
      <c r="D658" s="3">
        <v>1247.29</v>
      </c>
      <c r="E658" s="3">
        <v>3.23</v>
      </c>
      <c r="F658" s="1" t="s">
        <v>9</v>
      </c>
      <c r="G658" s="1" t="str">
        <f>TEXT(RideData[[#This Row],[timestamp]],"hh:mm")</f>
        <v>12:10</v>
      </c>
    </row>
    <row r="659" spans="1:7">
      <c r="A659" s="1" t="s">
        <v>681</v>
      </c>
      <c r="B659" s="2">
        <v>46169.50694444445</v>
      </c>
      <c r="C659" s="1" t="s">
        <v>19</v>
      </c>
      <c r="D659" s="3">
        <v>0</v>
      </c>
      <c r="E659" s="3">
        <v>3</v>
      </c>
      <c r="F659" s="1" t="s">
        <v>17</v>
      </c>
      <c r="G659" s="1" t="str">
        <f>TEXT(RideData[[#This Row],[timestamp]],"hh:mm")</f>
        <v>12:10</v>
      </c>
    </row>
    <row r="660" spans="1:7">
      <c r="A660" s="1" t="s">
        <v>682</v>
      </c>
      <c r="B660" s="2">
        <v>46169.50694444445</v>
      </c>
      <c r="C660" s="1" t="s">
        <v>12</v>
      </c>
      <c r="D660" s="3">
        <v>1413.89</v>
      </c>
      <c r="E660" s="3">
        <v>4.18</v>
      </c>
      <c r="F660" s="1" t="s">
        <v>9</v>
      </c>
      <c r="G660" s="1" t="str">
        <f>TEXT(RideData[[#This Row],[timestamp]],"hh:mm")</f>
        <v>12:10</v>
      </c>
    </row>
    <row r="661" spans="1:7">
      <c r="A661" s="1" t="s">
        <v>683</v>
      </c>
      <c r="B661" s="2">
        <v>46169.50694444445</v>
      </c>
      <c r="C661" s="1" t="s">
        <v>8</v>
      </c>
      <c r="D661" s="3">
        <v>0</v>
      </c>
      <c r="E661" s="3">
        <v>3.74</v>
      </c>
      <c r="F661" s="1" t="s">
        <v>15</v>
      </c>
      <c r="G661" s="1" t="str">
        <f>TEXT(RideData[[#This Row],[timestamp]],"hh:mm")</f>
        <v>12:10</v>
      </c>
    </row>
    <row r="662" spans="1:7">
      <c r="A662" s="1" t="s">
        <v>684</v>
      </c>
      <c r="B662" s="2">
        <v>46169.50694444445</v>
      </c>
      <c r="C662" s="1" t="s">
        <v>8</v>
      </c>
      <c r="D662" s="3">
        <v>2664.97</v>
      </c>
      <c r="E662" s="3">
        <v>4.56</v>
      </c>
      <c r="F662" s="1" t="s">
        <v>9</v>
      </c>
      <c r="G662" s="1" t="str">
        <f>TEXT(RideData[[#This Row],[timestamp]],"hh:mm")</f>
        <v>12:10</v>
      </c>
    </row>
    <row r="663" spans="1:7">
      <c r="A663" s="1" t="s">
        <v>685</v>
      </c>
      <c r="B663" s="2">
        <v>46169.50694444445</v>
      </c>
      <c r="C663" s="1" t="s">
        <v>8</v>
      </c>
      <c r="D663" s="3">
        <v>944.78</v>
      </c>
      <c r="E663" s="3">
        <v>4.52</v>
      </c>
      <c r="F663" s="1" t="s">
        <v>9</v>
      </c>
      <c r="G663" s="1" t="str">
        <f>TEXT(RideData[[#This Row],[timestamp]],"hh:mm")</f>
        <v>12:10</v>
      </c>
    </row>
    <row r="664" spans="1:7">
      <c r="A664" s="1" t="s">
        <v>686</v>
      </c>
      <c r="B664" s="2">
        <v>46169.50694444445</v>
      </c>
      <c r="C664" s="1" t="s">
        <v>12</v>
      </c>
      <c r="D664" s="3">
        <v>1303.4</v>
      </c>
      <c r="E664" s="3">
        <v>4.16</v>
      </c>
      <c r="F664" s="1" t="s">
        <v>9</v>
      </c>
      <c r="G664" s="1" t="str">
        <f>TEXT(RideData[[#This Row],[timestamp]],"hh:mm")</f>
        <v>12:10</v>
      </c>
    </row>
    <row r="665" spans="1:7">
      <c r="A665" s="1" t="s">
        <v>687</v>
      </c>
      <c r="B665" s="2">
        <v>46169.50694444445</v>
      </c>
      <c r="C665" s="1" t="s">
        <v>21</v>
      </c>
      <c r="D665" s="3">
        <v>852.54</v>
      </c>
      <c r="F665" s="1" t="s">
        <v>9</v>
      </c>
      <c r="G665" s="1" t="str">
        <f>TEXT(RideData[[#This Row],[timestamp]],"hh:mm")</f>
        <v>12:10</v>
      </c>
    </row>
    <row r="666" spans="1:7">
      <c r="A666" s="1" t="s">
        <v>688</v>
      </c>
      <c r="B666" s="2">
        <v>46169.50694444445</v>
      </c>
      <c r="C666" s="1" t="s">
        <v>8</v>
      </c>
      <c r="D666" s="3">
        <v>0</v>
      </c>
      <c r="E666" s="3">
        <v>3.37</v>
      </c>
      <c r="F666" s="1" t="s">
        <v>15</v>
      </c>
      <c r="G666" s="1" t="str">
        <f>TEXT(RideData[[#This Row],[timestamp]],"hh:mm")</f>
        <v>12:10</v>
      </c>
    </row>
    <row r="667" spans="1:7">
      <c r="A667" s="1" t="s">
        <v>689</v>
      </c>
      <c r="B667" s="2">
        <v>46169.50694444445</v>
      </c>
      <c r="C667" s="1" t="s">
        <v>21</v>
      </c>
      <c r="D667" s="3">
        <v>1694.8</v>
      </c>
      <c r="E667" s="3">
        <v>4.49</v>
      </c>
      <c r="F667" s="1" t="s">
        <v>9</v>
      </c>
      <c r="G667" s="1" t="str">
        <f>TEXT(RideData[[#This Row],[timestamp]],"hh:mm")</f>
        <v>12:10</v>
      </c>
    </row>
    <row r="668" spans="1:7">
      <c r="A668" s="1" t="s">
        <v>690</v>
      </c>
      <c r="B668" s="2">
        <v>46169.50694444445</v>
      </c>
      <c r="C668" s="1" t="s">
        <v>12</v>
      </c>
      <c r="D668" s="3">
        <v>1028.55</v>
      </c>
      <c r="F668" s="1" t="s">
        <v>9</v>
      </c>
      <c r="G668" s="1" t="str">
        <f>TEXT(RideData[[#This Row],[timestamp]],"hh:mm")</f>
        <v>12:10</v>
      </c>
    </row>
    <row r="669" spans="1:7">
      <c r="A669" s="1" t="s">
        <v>691</v>
      </c>
      <c r="B669" s="2">
        <v>46169.50694444445</v>
      </c>
      <c r="C669" s="1" t="s">
        <v>8</v>
      </c>
      <c r="D669" s="3">
        <v>0</v>
      </c>
      <c r="E669" s="3">
        <v>3.87</v>
      </c>
      <c r="F669" s="1" t="s">
        <v>15</v>
      </c>
      <c r="G669" s="1" t="str">
        <f>TEXT(RideData[[#This Row],[timestamp]],"hh:mm")</f>
        <v>12:10</v>
      </c>
    </row>
    <row r="670" spans="1:7">
      <c r="A670" s="1" t="s">
        <v>692</v>
      </c>
      <c r="B670" s="2">
        <v>46169.50694444445</v>
      </c>
      <c r="C670" s="1" t="s">
        <v>12</v>
      </c>
      <c r="D670" s="3">
        <v>575.64</v>
      </c>
      <c r="E670" s="3">
        <v>4.25</v>
      </c>
      <c r="F670" s="1" t="s">
        <v>9</v>
      </c>
      <c r="G670" s="1" t="str">
        <f>TEXT(RideData[[#This Row],[timestamp]],"hh:mm")</f>
        <v>12:10</v>
      </c>
    </row>
    <row r="671" spans="1:7">
      <c r="A671" s="1" t="s">
        <v>693</v>
      </c>
      <c r="B671" s="2">
        <v>46169.50694444445</v>
      </c>
      <c r="C671" s="1" t="s">
        <v>8</v>
      </c>
      <c r="D671" s="3">
        <v>3410.03</v>
      </c>
      <c r="E671" s="3">
        <v>3.86</v>
      </c>
      <c r="F671" s="1" t="s">
        <v>9</v>
      </c>
      <c r="G671" s="1" t="str">
        <f>TEXT(RideData[[#This Row],[timestamp]],"hh:mm")</f>
        <v>12:10</v>
      </c>
    </row>
    <row r="672" spans="1:7">
      <c r="A672" s="1" t="s">
        <v>694</v>
      </c>
      <c r="B672" s="2">
        <v>46169.50694444445</v>
      </c>
      <c r="C672" s="1" t="s">
        <v>19</v>
      </c>
      <c r="D672" s="3">
        <v>1610.27</v>
      </c>
      <c r="F672" s="1" t="s">
        <v>9</v>
      </c>
      <c r="G672" s="1" t="str">
        <f>TEXT(RideData[[#This Row],[timestamp]],"hh:mm")</f>
        <v>12:10</v>
      </c>
    </row>
    <row r="673" spans="1:7">
      <c r="A673" s="1" t="s">
        <v>695</v>
      </c>
      <c r="B673" s="2">
        <v>46169.50694444445</v>
      </c>
      <c r="C673" s="1" t="s">
        <v>21</v>
      </c>
      <c r="D673" s="3">
        <v>1219.84</v>
      </c>
      <c r="E673" s="3">
        <v>4.11</v>
      </c>
      <c r="F673" s="1" t="s">
        <v>9</v>
      </c>
      <c r="G673" s="1" t="str">
        <f>TEXT(RideData[[#This Row],[timestamp]],"hh:mm")</f>
        <v>12:10</v>
      </c>
    </row>
    <row r="674" spans="1:7">
      <c r="A674" s="1" t="s">
        <v>696</v>
      </c>
      <c r="B674" s="2">
        <v>46169.50694444445</v>
      </c>
      <c r="C674" s="1" t="s">
        <v>21</v>
      </c>
      <c r="D674" s="3">
        <v>0</v>
      </c>
      <c r="E674" s="3">
        <v>4.58</v>
      </c>
      <c r="F674" s="1" t="s">
        <v>15</v>
      </c>
      <c r="G674" s="1" t="str">
        <f>TEXT(RideData[[#This Row],[timestamp]],"hh:mm")</f>
        <v>12:10</v>
      </c>
    </row>
    <row r="675" spans="1:7">
      <c r="A675" s="1" t="s">
        <v>697</v>
      </c>
      <c r="B675" s="2">
        <v>46169.50694444445</v>
      </c>
      <c r="C675" s="1" t="s">
        <v>12</v>
      </c>
      <c r="D675" s="3">
        <v>1708.12</v>
      </c>
      <c r="E675" s="3">
        <v>4.02</v>
      </c>
      <c r="F675" s="1" t="s">
        <v>9</v>
      </c>
      <c r="G675" s="1" t="str">
        <f>TEXT(RideData[[#This Row],[timestamp]],"hh:mm")</f>
        <v>12:10</v>
      </c>
    </row>
    <row r="676" spans="1:7">
      <c r="A676" s="1" t="s">
        <v>698</v>
      </c>
      <c r="B676" s="2">
        <v>46169.50694444445</v>
      </c>
      <c r="C676" s="1" t="s">
        <v>21</v>
      </c>
      <c r="D676" s="3">
        <v>626.28</v>
      </c>
      <c r="E676" s="3">
        <v>3.86</v>
      </c>
      <c r="F676" s="1" t="s">
        <v>9</v>
      </c>
      <c r="G676" s="1" t="str">
        <f>TEXT(RideData[[#This Row],[timestamp]],"hh:mm")</f>
        <v>12:10</v>
      </c>
    </row>
    <row r="677" spans="1:7">
      <c r="A677" s="1" t="s">
        <v>699</v>
      </c>
      <c r="B677" s="2">
        <v>46169.50694444445</v>
      </c>
      <c r="C677" s="1" t="s">
        <v>21</v>
      </c>
      <c r="D677" s="3">
        <v>0</v>
      </c>
      <c r="E677" s="3">
        <v>4.02</v>
      </c>
      <c r="F677" s="1" t="s">
        <v>15</v>
      </c>
      <c r="G677" s="1" t="str">
        <f>TEXT(RideData[[#This Row],[timestamp]],"hh:mm")</f>
        <v>12:10</v>
      </c>
    </row>
    <row r="678" spans="1:7">
      <c r="A678" s="1" t="s">
        <v>700</v>
      </c>
      <c r="B678" s="2">
        <v>46169.50694444445</v>
      </c>
      <c r="C678" s="1" t="s">
        <v>19</v>
      </c>
      <c r="D678" s="3">
        <v>0</v>
      </c>
      <c r="F678" s="1" t="s">
        <v>17</v>
      </c>
      <c r="G678" s="1" t="str">
        <f>TEXT(RideData[[#This Row],[timestamp]],"hh:mm")</f>
        <v>12:10</v>
      </c>
    </row>
    <row r="679" spans="1:7">
      <c r="A679" s="1" t="s">
        <v>701</v>
      </c>
      <c r="B679" s="2">
        <v>46169.50694444445</v>
      </c>
      <c r="C679" s="1" t="s">
        <v>21</v>
      </c>
      <c r="D679" s="3">
        <v>1477.95</v>
      </c>
      <c r="E679" s="3">
        <v>4.37</v>
      </c>
      <c r="F679" s="1" t="s">
        <v>9</v>
      </c>
      <c r="G679" s="1" t="str">
        <f>TEXT(RideData[[#This Row],[timestamp]],"hh:mm")</f>
        <v>12:10</v>
      </c>
    </row>
    <row r="680" spans="1:7">
      <c r="A680" s="1" t="s">
        <v>702</v>
      </c>
      <c r="B680" s="2">
        <v>46169.50694444445</v>
      </c>
      <c r="C680" s="1" t="s">
        <v>8</v>
      </c>
      <c r="D680" s="3">
        <v>0</v>
      </c>
      <c r="E680" s="3">
        <v>3.67</v>
      </c>
      <c r="F680" s="1" t="s">
        <v>15</v>
      </c>
      <c r="G680" s="1" t="str">
        <f>TEXT(RideData[[#This Row],[timestamp]],"hh:mm")</f>
        <v>12:10</v>
      </c>
    </row>
    <row r="681" spans="1:7">
      <c r="A681" s="1" t="s">
        <v>703</v>
      </c>
      <c r="B681" s="2">
        <v>46169.50694444445</v>
      </c>
      <c r="C681" s="1" t="s">
        <v>8</v>
      </c>
      <c r="D681" s="3">
        <v>1262.09</v>
      </c>
      <c r="F681" s="1" t="s">
        <v>9</v>
      </c>
      <c r="G681" s="1" t="str">
        <f>TEXT(RideData[[#This Row],[timestamp]],"hh:mm")</f>
        <v>12:10</v>
      </c>
    </row>
    <row r="682" spans="1:7">
      <c r="A682" s="1" t="s">
        <v>704</v>
      </c>
      <c r="B682" s="2">
        <v>46169.50694444445</v>
      </c>
      <c r="C682" s="1" t="s">
        <v>8</v>
      </c>
      <c r="D682" s="3">
        <v>2329.68</v>
      </c>
      <c r="E682" s="3">
        <v>4.49</v>
      </c>
      <c r="F682" s="1" t="s">
        <v>9</v>
      </c>
      <c r="G682" s="1" t="str">
        <f>TEXT(RideData[[#This Row],[timestamp]],"hh:mm")</f>
        <v>12:10</v>
      </c>
    </row>
    <row r="683" spans="1:7">
      <c r="A683" s="1" t="s">
        <v>705</v>
      </c>
      <c r="B683" s="2">
        <v>46169.50694444445</v>
      </c>
      <c r="C683" s="1" t="s">
        <v>19</v>
      </c>
      <c r="D683" s="3">
        <v>2069.52</v>
      </c>
      <c r="E683" s="3">
        <v>4.21</v>
      </c>
      <c r="F683" s="1" t="s">
        <v>9</v>
      </c>
      <c r="G683" s="1" t="str">
        <f>TEXT(RideData[[#This Row],[timestamp]],"hh:mm")</f>
        <v>12:10</v>
      </c>
    </row>
    <row r="684" spans="1:7">
      <c r="A684" s="1" t="s">
        <v>706</v>
      </c>
      <c r="B684" s="2">
        <v>46169.50694444445</v>
      </c>
      <c r="C684" s="1" t="s">
        <v>19</v>
      </c>
      <c r="D684" s="3">
        <v>982.75</v>
      </c>
      <c r="E684" s="3">
        <v>3.39</v>
      </c>
      <c r="F684" s="1" t="s">
        <v>9</v>
      </c>
      <c r="G684" s="1" t="str">
        <f>TEXT(RideData[[#This Row],[timestamp]],"hh:mm")</f>
        <v>12:10</v>
      </c>
    </row>
    <row r="685" spans="1:7">
      <c r="A685" s="1" t="s">
        <v>707</v>
      </c>
      <c r="B685" s="2">
        <v>46169.50694444445</v>
      </c>
      <c r="C685" s="1" t="s">
        <v>12</v>
      </c>
      <c r="D685" s="3">
        <v>857.7</v>
      </c>
      <c r="E685" s="3">
        <v>4.63</v>
      </c>
      <c r="F685" s="1" t="s">
        <v>9</v>
      </c>
      <c r="G685" s="1" t="str">
        <f>TEXT(RideData[[#This Row],[timestamp]],"hh:mm")</f>
        <v>12:10</v>
      </c>
    </row>
    <row r="686" spans="1:7">
      <c r="A686" s="1" t="s">
        <v>708</v>
      </c>
      <c r="B686" s="2">
        <v>46169.50694444445</v>
      </c>
      <c r="C686" s="1" t="s">
        <v>21</v>
      </c>
      <c r="D686" s="3">
        <v>1016.83</v>
      </c>
      <c r="E686" s="3">
        <v>3.62</v>
      </c>
      <c r="F686" s="1" t="s">
        <v>9</v>
      </c>
      <c r="G686" s="1" t="str">
        <f>TEXT(RideData[[#This Row],[timestamp]],"hh:mm")</f>
        <v>12:10</v>
      </c>
    </row>
    <row r="687" spans="1:7">
      <c r="A687" s="1" t="s">
        <v>709</v>
      </c>
      <c r="B687" s="2">
        <v>46169.50694444445</v>
      </c>
      <c r="C687" s="1" t="s">
        <v>19</v>
      </c>
      <c r="D687" s="3">
        <v>548.85</v>
      </c>
      <c r="E687" s="3">
        <v>3.8</v>
      </c>
      <c r="F687" s="1" t="s">
        <v>9</v>
      </c>
      <c r="G687" s="1" t="str">
        <f>TEXT(RideData[[#This Row],[timestamp]],"hh:mm")</f>
        <v>12:10</v>
      </c>
    </row>
    <row r="688" spans="1:7">
      <c r="A688" s="1" t="s">
        <v>710</v>
      </c>
      <c r="B688" s="2">
        <v>46169.50694444445</v>
      </c>
      <c r="C688" s="1" t="s">
        <v>19</v>
      </c>
      <c r="D688" s="3">
        <v>968.35</v>
      </c>
      <c r="E688" s="3">
        <v>4.57</v>
      </c>
      <c r="F688" s="1" t="s">
        <v>9</v>
      </c>
      <c r="G688" s="1" t="str">
        <f>TEXT(RideData[[#This Row],[timestamp]],"hh:mm")</f>
        <v>12:10</v>
      </c>
    </row>
    <row r="689" spans="1:7">
      <c r="A689" s="1" t="s">
        <v>711</v>
      </c>
      <c r="B689" s="2">
        <v>46169.50694444445</v>
      </c>
      <c r="C689" s="1" t="s">
        <v>19</v>
      </c>
      <c r="D689" s="3">
        <v>0</v>
      </c>
      <c r="E689" s="3">
        <v>3.63</v>
      </c>
      <c r="F689" s="1" t="s">
        <v>15</v>
      </c>
      <c r="G689" s="1" t="str">
        <f>TEXT(RideData[[#This Row],[timestamp]],"hh:mm")</f>
        <v>12:10</v>
      </c>
    </row>
    <row r="690" spans="1:7">
      <c r="A690" s="1" t="s">
        <v>712</v>
      </c>
      <c r="B690" s="2">
        <v>46169.50694444445</v>
      </c>
      <c r="C690" s="1" t="s">
        <v>12</v>
      </c>
      <c r="D690" s="3">
        <v>1220.64</v>
      </c>
      <c r="E690" s="3">
        <v>4.05</v>
      </c>
      <c r="F690" s="1" t="s">
        <v>9</v>
      </c>
      <c r="G690" s="1" t="str">
        <f>TEXT(RideData[[#This Row],[timestamp]],"hh:mm")</f>
        <v>12:10</v>
      </c>
    </row>
    <row r="691" spans="1:7">
      <c r="A691" s="1" t="s">
        <v>713</v>
      </c>
      <c r="B691" s="2">
        <v>46169.50694444445</v>
      </c>
      <c r="C691" s="1" t="s">
        <v>21</v>
      </c>
      <c r="D691" s="3">
        <v>897.59</v>
      </c>
      <c r="E691" s="3">
        <v>3.09</v>
      </c>
      <c r="F691" s="1" t="s">
        <v>9</v>
      </c>
      <c r="G691" s="1" t="str">
        <f>TEXT(RideData[[#This Row],[timestamp]],"hh:mm")</f>
        <v>12:10</v>
      </c>
    </row>
    <row r="692" spans="1:7">
      <c r="A692" s="1" t="s">
        <v>714</v>
      </c>
      <c r="B692" s="2">
        <v>46169.50694444445</v>
      </c>
      <c r="C692" s="1" t="s">
        <v>8</v>
      </c>
      <c r="D692" s="3">
        <v>0</v>
      </c>
      <c r="E692" s="3">
        <v>4.98</v>
      </c>
      <c r="F692" s="1" t="s">
        <v>15</v>
      </c>
      <c r="G692" s="1" t="str">
        <f>TEXT(RideData[[#This Row],[timestamp]],"hh:mm")</f>
        <v>12:10</v>
      </c>
    </row>
    <row r="693" spans="1:7">
      <c r="A693" s="1" t="s">
        <v>715</v>
      </c>
      <c r="B693" s="2">
        <v>46169.50694444445</v>
      </c>
      <c r="C693" s="1" t="s">
        <v>19</v>
      </c>
      <c r="D693" s="3">
        <v>0</v>
      </c>
      <c r="E693" s="3">
        <v>3.83</v>
      </c>
      <c r="F693" s="1" t="s">
        <v>15</v>
      </c>
      <c r="G693" s="1" t="str">
        <f>TEXT(RideData[[#This Row],[timestamp]],"hh:mm")</f>
        <v>12:10</v>
      </c>
    </row>
    <row r="694" spans="1:7">
      <c r="A694" s="1" t="s">
        <v>716</v>
      </c>
      <c r="B694" s="2">
        <v>46169.50694444445</v>
      </c>
      <c r="C694" s="1" t="s">
        <v>12</v>
      </c>
      <c r="D694" s="3">
        <v>0</v>
      </c>
      <c r="E694" s="3">
        <v>2.94</v>
      </c>
      <c r="F694" s="1" t="s">
        <v>17</v>
      </c>
      <c r="G694" s="1" t="str">
        <f>TEXT(RideData[[#This Row],[timestamp]],"hh:mm")</f>
        <v>12:10</v>
      </c>
    </row>
    <row r="695" spans="1:7">
      <c r="A695" s="1" t="s">
        <v>717</v>
      </c>
      <c r="B695" s="2">
        <v>46169.50694444445</v>
      </c>
      <c r="C695" s="1" t="s">
        <v>8</v>
      </c>
      <c r="D695" s="3">
        <v>0</v>
      </c>
      <c r="E695" s="3">
        <v>4.16</v>
      </c>
      <c r="F695" s="1" t="s">
        <v>15</v>
      </c>
      <c r="G695" s="1" t="str">
        <f>TEXT(RideData[[#This Row],[timestamp]],"hh:mm")</f>
        <v>12:10</v>
      </c>
    </row>
    <row r="696" spans="1:7">
      <c r="A696" s="1" t="s">
        <v>718</v>
      </c>
      <c r="B696" s="2">
        <v>46169.50694444445</v>
      </c>
      <c r="C696" s="1" t="s">
        <v>8</v>
      </c>
      <c r="D696" s="3">
        <v>1332.8</v>
      </c>
      <c r="E696" s="3">
        <v>3.3</v>
      </c>
      <c r="F696" s="1" t="s">
        <v>9</v>
      </c>
      <c r="G696" s="1" t="str">
        <f>TEXT(RideData[[#This Row],[timestamp]],"hh:mm")</f>
        <v>12:10</v>
      </c>
    </row>
    <row r="697" spans="1:7">
      <c r="A697" s="1" t="s">
        <v>719</v>
      </c>
      <c r="B697" s="2">
        <v>46169.50694444445</v>
      </c>
      <c r="C697" s="1" t="s">
        <v>8</v>
      </c>
      <c r="D697" s="3">
        <v>1192.2</v>
      </c>
      <c r="F697" s="1" t="s">
        <v>9</v>
      </c>
      <c r="G697" s="1" t="str">
        <f>TEXT(RideData[[#This Row],[timestamp]],"hh:mm")</f>
        <v>12:10</v>
      </c>
    </row>
    <row r="698" spans="1:7">
      <c r="A698" s="1" t="s">
        <v>720</v>
      </c>
      <c r="B698" s="2">
        <v>46169.50694444445</v>
      </c>
      <c r="C698" s="1" t="s">
        <v>19</v>
      </c>
      <c r="D698" s="3">
        <v>1958.1</v>
      </c>
      <c r="E698" s="3">
        <v>4.51</v>
      </c>
      <c r="F698" s="1" t="s">
        <v>9</v>
      </c>
      <c r="G698" s="1" t="str">
        <f>TEXT(RideData[[#This Row],[timestamp]],"hh:mm")</f>
        <v>12:10</v>
      </c>
    </row>
    <row r="699" spans="1:7">
      <c r="A699" s="1" t="s">
        <v>721</v>
      </c>
      <c r="B699" s="2">
        <v>46169.50694444445</v>
      </c>
      <c r="C699" s="1" t="s">
        <v>21</v>
      </c>
      <c r="D699" s="3">
        <v>1641.45</v>
      </c>
      <c r="E699" s="3">
        <v>2.82</v>
      </c>
      <c r="F699" s="1" t="s">
        <v>9</v>
      </c>
      <c r="G699" s="1" t="str">
        <f>TEXT(RideData[[#This Row],[timestamp]],"hh:mm")</f>
        <v>12:10</v>
      </c>
    </row>
    <row r="700" spans="1:7">
      <c r="A700" s="1" t="s">
        <v>722</v>
      </c>
      <c r="B700" s="2">
        <v>46169.50694444445</v>
      </c>
      <c r="C700" s="1" t="s">
        <v>12</v>
      </c>
      <c r="D700" s="3">
        <v>650.2</v>
      </c>
      <c r="E700" s="3">
        <v>3.62</v>
      </c>
      <c r="F700" s="1" t="s">
        <v>9</v>
      </c>
      <c r="G700" s="1" t="str">
        <f>TEXT(RideData[[#This Row],[timestamp]],"hh:mm")</f>
        <v>12:10</v>
      </c>
    </row>
    <row r="701" spans="1:7">
      <c r="A701" s="1" t="s">
        <v>723</v>
      </c>
      <c r="B701" s="2">
        <v>46169.50694444445</v>
      </c>
      <c r="C701" s="1" t="s">
        <v>12</v>
      </c>
      <c r="D701" s="3">
        <v>2208.78</v>
      </c>
      <c r="E701" s="3">
        <v>3.74</v>
      </c>
      <c r="F701" s="1" t="s">
        <v>9</v>
      </c>
      <c r="G701" s="1" t="str">
        <f>TEXT(RideData[[#This Row],[timestamp]],"hh:mm")</f>
        <v>12:10</v>
      </c>
    </row>
    <row r="702" spans="1:7">
      <c r="A702" s="1" t="s">
        <v>724</v>
      </c>
      <c r="B702" s="2">
        <v>46169.50694444445</v>
      </c>
      <c r="C702" s="1" t="s">
        <v>12</v>
      </c>
      <c r="D702" s="3">
        <v>0</v>
      </c>
      <c r="E702" s="3">
        <v>4.21</v>
      </c>
      <c r="F702" s="1" t="s">
        <v>17</v>
      </c>
      <c r="G702" s="1" t="str">
        <f>TEXT(RideData[[#This Row],[timestamp]],"hh:mm")</f>
        <v>12:10</v>
      </c>
    </row>
    <row r="703" spans="1:7">
      <c r="A703" s="1" t="s">
        <v>725</v>
      </c>
      <c r="B703" s="2">
        <v>46169.50694444445</v>
      </c>
      <c r="C703" s="1" t="s">
        <v>21</v>
      </c>
      <c r="D703" s="3">
        <v>1920.23</v>
      </c>
      <c r="E703" s="3">
        <v>4.42</v>
      </c>
      <c r="F703" s="1" t="s">
        <v>9</v>
      </c>
      <c r="G703" s="1" t="str">
        <f>TEXT(RideData[[#This Row],[timestamp]],"hh:mm")</f>
        <v>12:10</v>
      </c>
    </row>
    <row r="704" spans="1:7">
      <c r="A704" s="1" t="s">
        <v>726</v>
      </c>
      <c r="B704" s="2">
        <v>46169.50694444445</v>
      </c>
      <c r="C704" s="1" t="s">
        <v>21</v>
      </c>
      <c r="D704" s="3">
        <v>1418.08</v>
      </c>
      <c r="E704" s="3">
        <v>3.76</v>
      </c>
      <c r="F704" s="1" t="s">
        <v>9</v>
      </c>
      <c r="G704" s="1" t="str">
        <f>TEXT(RideData[[#This Row],[timestamp]],"hh:mm")</f>
        <v>12:10</v>
      </c>
    </row>
    <row r="705" spans="1:7">
      <c r="A705" s="1" t="s">
        <v>727</v>
      </c>
      <c r="B705" s="2">
        <v>46169.50694444445</v>
      </c>
      <c r="C705" s="1" t="s">
        <v>12</v>
      </c>
      <c r="D705" s="3">
        <v>1268.43</v>
      </c>
      <c r="E705" s="3">
        <v>3.68</v>
      </c>
      <c r="F705" s="1" t="s">
        <v>9</v>
      </c>
      <c r="G705" s="1" t="str">
        <f>TEXT(RideData[[#This Row],[timestamp]],"hh:mm")</f>
        <v>12:10</v>
      </c>
    </row>
    <row r="706" spans="1:7">
      <c r="A706" s="1" t="s">
        <v>728</v>
      </c>
      <c r="B706" s="2">
        <v>46169.50694444445</v>
      </c>
      <c r="C706" s="1" t="s">
        <v>8</v>
      </c>
      <c r="D706" s="3">
        <v>1824.83</v>
      </c>
      <c r="E706" s="3">
        <v>4.67</v>
      </c>
      <c r="F706" s="1" t="s">
        <v>9</v>
      </c>
      <c r="G706" s="1" t="str">
        <f>TEXT(RideData[[#This Row],[timestamp]],"hh:mm")</f>
        <v>12:10</v>
      </c>
    </row>
    <row r="707" spans="1:7">
      <c r="A707" s="1" t="s">
        <v>729</v>
      </c>
      <c r="B707" s="2">
        <v>46169.50694444445</v>
      </c>
      <c r="C707" s="1" t="s">
        <v>21</v>
      </c>
      <c r="D707" s="3">
        <v>2434.92</v>
      </c>
      <c r="F707" s="1" t="s">
        <v>9</v>
      </c>
      <c r="G707" s="1" t="str">
        <f>TEXT(RideData[[#This Row],[timestamp]],"hh:mm")</f>
        <v>12:10</v>
      </c>
    </row>
    <row r="708" spans="1:7">
      <c r="A708" s="1" t="s">
        <v>730</v>
      </c>
      <c r="B708" s="2">
        <v>46169.50694444445</v>
      </c>
      <c r="C708" s="1" t="s">
        <v>12</v>
      </c>
      <c r="D708" s="3">
        <v>698.14</v>
      </c>
      <c r="E708" s="3">
        <v>3.52</v>
      </c>
      <c r="F708" s="1" t="s">
        <v>9</v>
      </c>
      <c r="G708" s="1" t="str">
        <f>TEXT(RideData[[#This Row],[timestamp]],"hh:mm")</f>
        <v>12:10</v>
      </c>
    </row>
    <row r="709" spans="1:7">
      <c r="A709" s="1" t="s">
        <v>731</v>
      </c>
      <c r="B709" s="2">
        <v>46169.50694444445</v>
      </c>
      <c r="C709" s="1" t="s">
        <v>21</v>
      </c>
      <c r="D709" s="3">
        <v>795.5</v>
      </c>
      <c r="F709" s="1" t="s">
        <v>9</v>
      </c>
      <c r="G709" s="1" t="str">
        <f>TEXT(RideData[[#This Row],[timestamp]],"hh:mm")</f>
        <v>12:10</v>
      </c>
    </row>
    <row r="710" spans="1:7">
      <c r="A710" s="1" t="s">
        <v>732</v>
      </c>
      <c r="B710" s="2">
        <v>46169.50694444445</v>
      </c>
      <c r="C710" s="1" t="s">
        <v>12</v>
      </c>
      <c r="D710" s="3">
        <v>2028.79</v>
      </c>
      <c r="E710" s="3">
        <v>3.55</v>
      </c>
      <c r="F710" s="1" t="s">
        <v>9</v>
      </c>
      <c r="G710" s="1" t="str">
        <f>TEXT(RideData[[#This Row],[timestamp]],"hh:mm")</f>
        <v>12:10</v>
      </c>
    </row>
    <row r="711" spans="1:7">
      <c r="A711" s="1" t="s">
        <v>733</v>
      </c>
      <c r="B711" s="2">
        <v>46169.50694444445</v>
      </c>
      <c r="C711" s="1" t="s">
        <v>8</v>
      </c>
      <c r="D711" s="3">
        <v>1058.53</v>
      </c>
      <c r="E711" s="3">
        <v>3.33</v>
      </c>
      <c r="F711" s="1" t="s">
        <v>9</v>
      </c>
      <c r="G711" s="1" t="str">
        <f>TEXT(RideData[[#This Row],[timestamp]],"hh:mm")</f>
        <v>12:10</v>
      </c>
    </row>
    <row r="712" spans="1:7">
      <c r="A712" s="1" t="s">
        <v>734</v>
      </c>
      <c r="B712" s="2">
        <v>46169.50694444445</v>
      </c>
      <c r="C712" s="1" t="s">
        <v>12</v>
      </c>
      <c r="D712" s="3">
        <v>1941.91</v>
      </c>
      <c r="E712" s="3">
        <v>4.53</v>
      </c>
      <c r="F712" s="1" t="s">
        <v>9</v>
      </c>
      <c r="G712" s="1" t="str">
        <f>TEXT(RideData[[#This Row],[timestamp]],"hh:mm")</f>
        <v>12:10</v>
      </c>
    </row>
    <row r="713" spans="1:7">
      <c r="A713" s="1" t="s">
        <v>735</v>
      </c>
      <c r="B713" s="2">
        <v>46169.50694444445</v>
      </c>
      <c r="C713" s="1" t="s">
        <v>21</v>
      </c>
      <c r="D713" s="3">
        <v>0</v>
      </c>
      <c r="E713" s="3">
        <v>3.31</v>
      </c>
      <c r="F713" s="1" t="s">
        <v>15</v>
      </c>
      <c r="G713" s="1" t="str">
        <f>TEXT(RideData[[#This Row],[timestamp]],"hh:mm")</f>
        <v>12:10</v>
      </c>
    </row>
    <row r="714" spans="1:7">
      <c r="A714" s="1" t="s">
        <v>736</v>
      </c>
      <c r="B714" s="2">
        <v>46169.50694444445</v>
      </c>
      <c r="C714" s="1" t="s">
        <v>12</v>
      </c>
      <c r="D714" s="3">
        <v>0</v>
      </c>
      <c r="E714" s="3">
        <v>4.79</v>
      </c>
      <c r="F714" s="1" t="s">
        <v>15</v>
      </c>
      <c r="G714" s="1" t="str">
        <f>TEXT(RideData[[#This Row],[timestamp]],"hh:mm")</f>
        <v>12:10</v>
      </c>
    </row>
    <row r="715" spans="1:7">
      <c r="A715" s="1" t="s">
        <v>737</v>
      </c>
      <c r="B715" s="2">
        <v>46169.50694444445</v>
      </c>
      <c r="C715" s="1" t="s">
        <v>8</v>
      </c>
      <c r="D715" s="3">
        <v>1461</v>
      </c>
      <c r="E715" s="3">
        <v>4.16</v>
      </c>
      <c r="F715" s="1" t="s">
        <v>9</v>
      </c>
      <c r="G715" s="1" t="str">
        <f>TEXT(RideData[[#This Row],[timestamp]],"hh:mm")</f>
        <v>12:10</v>
      </c>
    </row>
    <row r="716" spans="1:7">
      <c r="A716" s="1" t="s">
        <v>738</v>
      </c>
      <c r="B716" s="2">
        <v>46169.50694444445</v>
      </c>
      <c r="C716" s="1" t="s">
        <v>21</v>
      </c>
      <c r="D716" s="3">
        <v>0</v>
      </c>
      <c r="E716" s="3">
        <v>2.68</v>
      </c>
      <c r="F716" s="1" t="s">
        <v>15</v>
      </c>
      <c r="G716" s="1" t="str">
        <f>TEXT(RideData[[#This Row],[timestamp]],"hh:mm")</f>
        <v>12:10</v>
      </c>
    </row>
    <row r="717" spans="1:7">
      <c r="A717" s="1" t="s">
        <v>739</v>
      </c>
      <c r="B717" s="2">
        <v>46169.50694444445</v>
      </c>
      <c r="C717" s="1" t="s">
        <v>8</v>
      </c>
      <c r="D717" s="3">
        <v>2387.66</v>
      </c>
      <c r="E717" s="3">
        <v>3.21</v>
      </c>
      <c r="F717" s="1" t="s">
        <v>9</v>
      </c>
      <c r="G717" s="1" t="str">
        <f>TEXT(RideData[[#This Row],[timestamp]],"hh:mm")</f>
        <v>12:10</v>
      </c>
    </row>
    <row r="718" spans="1:7">
      <c r="A718" s="1" t="s">
        <v>740</v>
      </c>
      <c r="B718" s="2">
        <v>46169.51041666666</v>
      </c>
      <c r="C718" s="1" t="s">
        <v>8</v>
      </c>
      <c r="D718" s="3">
        <v>0</v>
      </c>
      <c r="E718" s="3">
        <v>4.69</v>
      </c>
      <c r="F718" s="1" t="s">
        <v>15</v>
      </c>
      <c r="G718" s="1" t="str">
        <f>TEXT(RideData[[#This Row],[timestamp]],"hh:mm")</f>
        <v>12:15</v>
      </c>
    </row>
    <row r="719" spans="1:7">
      <c r="A719" s="1" t="s">
        <v>742</v>
      </c>
      <c r="B719" s="2">
        <v>46169.51041666666</v>
      </c>
      <c r="C719" s="1" t="s">
        <v>19</v>
      </c>
      <c r="D719" s="3">
        <v>1256.78</v>
      </c>
      <c r="E719" s="3">
        <v>4.58</v>
      </c>
      <c r="F719" s="1" t="s">
        <v>9</v>
      </c>
      <c r="G719" s="1" t="str">
        <f>TEXT(RideData[[#This Row],[timestamp]],"hh:mm")</f>
        <v>12:15</v>
      </c>
    </row>
    <row r="720" spans="1:7">
      <c r="A720" s="1" t="s">
        <v>743</v>
      </c>
      <c r="B720" s="2">
        <v>46169.51041666666</v>
      </c>
      <c r="C720" s="1" t="s">
        <v>12</v>
      </c>
      <c r="D720" s="3">
        <v>1338.94</v>
      </c>
      <c r="E720" s="3">
        <v>3.21</v>
      </c>
      <c r="F720" s="1" t="s">
        <v>9</v>
      </c>
      <c r="G720" s="1" t="str">
        <f>TEXT(RideData[[#This Row],[timestamp]],"hh:mm")</f>
        <v>12:15</v>
      </c>
    </row>
    <row r="721" spans="1:7">
      <c r="A721" s="1" t="s">
        <v>744</v>
      </c>
      <c r="B721" s="2">
        <v>46169.51041666666</v>
      </c>
      <c r="C721" s="1" t="s">
        <v>21</v>
      </c>
      <c r="D721" s="3">
        <v>974.1900000000001</v>
      </c>
      <c r="E721" s="3">
        <v>3.88</v>
      </c>
      <c r="F721" s="1" t="s">
        <v>9</v>
      </c>
      <c r="G721" s="1" t="str">
        <f>TEXT(RideData[[#This Row],[timestamp]],"hh:mm")</f>
        <v>12:15</v>
      </c>
    </row>
    <row r="722" spans="1:7">
      <c r="A722" s="1" t="s">
        <v>745</v>
      </c>
      <c r="B722" s="2">
        <v>46169.51041666666</v>
      </c>
      <c r="C722" s="1" t="s">
        <v>21</v>
      </c>
      <c r="D722" s="3">
        <v>1650.23</v>
      </c>
      <c r="E722" s="3">
        <v>4.49</v>
      </c>
      <c r="F722" s="1" t="s">
        <v>9</v>
      </c>
      <c r="G722" s="1" t="str">
        <f>TEXT(RideData[[#This Row],[timestamp]],"hh:mm")</f>
        <v>12:15</v>
      </c>
    </row>
    <row r="723" spans="1:7">
      <c r="A723" s="1" t="s">
        <v>746</v>
      </c>
      <c r="B723" s="2">
        <v>46169.51041666666</v>
      </c>
      <c r="C723" s="1" t="s">
        <v>12</v>
      </c>
      <c r="D723" s="3">
        <v>1029.99</v>
      </c>
      <c r="F723" s="1" t="s">
        <v>9</v>
      </c>
      <c r="G723" s="1" t="str">
        <f>TEXT(RideData[[#This Row],[timestamp]],"hh:mm")</f>
        <v>12:15</v>
      </c>
    </row>
    <row r="724" spans="1:7">
      <c r="A724" s="1" t="s">
        <v>747</v>
      </c>
      <c r="B724" s="2">
        <v>46169.51041666666</v>
      </c>
      <c r="C724" s="1" t="s">
        <v>8</v>
      </c>
      <c r="D724" s="3">
        <v>883.3200000000001</v>
      </c>
      <c r="E724" s="3">
        <v>4.78</v>
      </c>
      <c r="F724" s="1" t="s">
        <v>9</v>
      </c>
      <c r="G724" s="1" t="str">
        <f>TEXT(RideData[[#This Row],[timestamp]],"hh:mm")</f>
        <v>12:15</v>
      </c>
    </row>
    <row r="725" spans="1:7">
      <c r="A725" s="1" t="s">
        <v>748</v>
      </c>
      <c r="B725" s="2">
        <v>46169.51041666666</v>
      </c>
      <c r="C725" s="1" t="s">
        <v>21</v>
      </c>
      <c r="D725" s="3">
        <v>1017.52</v>
      </c>
      <c r="E725" s="3">
        <v>4.21</v>
      </c>
      <c r="F725" s="1" t="s">
        <v>9</v>
      </c>
      <c r="G725" s="1" t="str">
        <f>TEXT(RideData[[#This Row],[timestamp]],"hh:mm")</f>
        <v>12:15</v>
      </c>
    </row>
    <row r="726" spans="1:7">
      <c r="A726" s="1" t="s">
        <v>749</v>
      </c>
      <c r="B726" s="2">
        <v>46169.51041666666</v>
      </c>
      <c r="C726" s="1" t="s">
        <v>19</v>
      </c>
      <c r="D726" s="3">
        <v>0</v>
      </c>
      <c r="E726" s="3">
        <v>4.44</v>
      </c>
      <c r="F726" s="1" t="s">
        <v>17</v>
      </c>
      <c r="G726" s="1" t="str">
        <f>TEXT(RideData[[#This Row],[timestamp]],"hh:mm")</f>
        <v>12:15</v>
      </c>
    </row>
    <row r="727" spans="1:7">
      <c r="A727" s="1" t="s">
        <v>750</v>
      </c>
      <c r="B727" s="2">
        <v>46169.51041666666</v>
      </c>
      <c r="C727" s="1" t="s">
        <v>19</v>
      </c>
      <c r="D727" s="3">
        <v>1603.54</v>
      </c>
      <c r="E727" s="3">
        <v>3.3</v>
      </c>
      <c r="F727" s="1" t="s">
        <v>9</v>
      </c>
      <c r="G727" s="1" t="str">
        <f>TEXT(RideData[[#This Row],[timestamp]],"hh:mm")</f>
        <v>12:15</v>
      </c>
    </row>
    <row r="728" spans="1:7">
      <c r="A728" s="1" t="s">
        <v>751</v>
      </c>
      <c r="B728" s="2">
        <v>46169.51041666666</v>
      </c>
      <c r="C728" s="1" t="s">
        <v>21</v>
      </c>
      <c r="D728" s="3">
        <v>1960.65</v>
      </c>
      <c r="E728" s="3">
        <v>4.95</v>
      </c>
      <c r="F728" s="1" t="s">
        <v>9</v>
      </c>
      <c r="G728" s="1" t="str">
        <f>TEXT(RideData[[#This Row],[timestamp]],"hh:mm")</f>
        <v>12:15</v>
      </c>
    </row>
    <row r="729" spans="1:7">
      <c r="A729" s="1" t="s">
        <v>752</v>
      </c>
      <c r="B729" s="2">
        <v>46169.51041666666</v>
      </c>
      <c r="C729" s="1" t="s">
        <v>19</v>
      </c>
      <c r="D729" s="3">
        <v>943.41</v>
      </c>
      <c r="E729" s="3">
        <v>2.98</v>
      </c>
      <c r="F729" s="1" t="s">
        <v>9</v>
      </c>
      <c r="G729" s="1" t="str">
        <f>TEXT(RideData[[#This Row],[timestamp]],"hh:mm")</f>
        <v>12:15</v>
      </c>
    </row>
    <row r="730" spans="1:7">
      <c r="A730" s="1" t="s">
        <v>753</v>
      </c>
      <c r="B730" s="2">
        <v>46169.51041666666</v>
      </c>
      <c r="C730" s="1" t="s">
        <v>21</v>
      </c>
      <c r="D730" s="3">
        <v>0</v>
      </c>
      <c r="E730" s="3">
        <v>5</v>
      </c>
      <c r="F730" s="1" t="s">
        <v>15</v>
      </c>
      <c r="G730" s="1" t="str">
        <f>TEXT(RideData[[#This Row],[timestamp]],"hh:mm")</f>
        <v>12:15</v>
      </c>
    </row>
    <row r="731" spans="1:7">
      <c r="A731" s="1" t="s">
        <v>754</v>
      </c>
      <c r="B731" s="2">
        <v>46169.51041666666</v>
      </c>
      <c r="C731" s="1" t="s">
        <v>21</v>
      </c>
      <c r="D731" s="3">
        <v>1499.52</v>
      </c>
      <c r="E731" s="3">
        <v>3.71</v>
      </c>
      <c r="F731" s="1" t="s">
        <v>9</v>
      </c>
      <c r="G731" s="1" t="str">
        <f>TEXT(RideData[[#This Row],[timestamp]],"hh:mm")</f>
        <v>12:15</v>
      </c>
    </row>
    <row r="732" spans="1:7">
      <c r="A732" s="1" t="s">
        <v>755</v>
      </c>
      <c r="B732" s="2">
        <v>46169.51041666666</v>
      </c>
      <c r="C732" s="1" t="s">
        <v>8</v>
      </c>
      <c r="D732" s="3">
        <v>1850.45</v>
      </c>
      <c r="E732" s="3">
        <v>2.9</v>
      </c>
      <c r="F732" s="1" t="s">
        <v>9</v>
      </c>
      <c r="G732" s="1" t="str">
        <f>TEXT(RideData[[#This Row],[timestamp]],"hh:mm")</f>
        <v>12:15</v>
      </c>
    </row>
    <row r="733" spans="1:7">
      <c r="A733" s="1" t="s">
        <v>756</v>
      </c>
      <c r="B733" s="2">
        <v>46169.51041666666</v>
      </c>
      <c r="C733" s="1" t="s">
        <v>8</v>
      </c>
      <c r="D733" s="3">
        <v>719.8099999999999</v>
      </c>
      <c r="E733" s="3">
        <v>3.76</v>
      </c>
      <c r="F733" s="1" t="s">
        <v>9</v>
      </c>
      <c r="G733" s="1" t="str">
        <f>TEXT(RideData[[#This Row],[timestamp]],"hh:mm")</f>
        <v>12:15</v>
      </c>
    </row>
    <row r="734" spans="1:7">
      <c r="A734" s="1" t="s">
        <v>757</v>
      </c>
      <c r="B734" s="2">
        <v>46169.51041666666</v>
      </c>
      <c r="C734" s="1" t="s">
        <v>8</v>
      </c>
      <c r="D734" s="3">
        <v>1073.88</v>
      </c>
      <c r="E734" s="3">
        <v>3.88</v>
      </c>
      <c r="F734" s="1" t="s">
        <v>9</v>
      </c>
      <c r="G734" s="1" t="str">
        <f>TEXT(RideData[[#This Row],[timestamp]],"hh:mm")</f>
        <v>12:15</v>
      </c>
    </row>
    <row r="735" spans="1:7">
      <c r="A735" s="1" t="s">
        <v>758</v>
      </c>
      <c r="B735" s="2">
        <v>46169.51041666666</v>
      </c>
      <c r="C735" s="1" t="s">
        <v>12</v>
      </c>
      <c r="D735" s="3">
        <v>738.9299999999999</v>
      </c>
      <c r="F735" s="1" t="s">
        <v>9</v>
      </c>
      <c r="G735" s="1" t="str">
        <f>TEXT(RideData[[#This Row],[timestamp]],"hh:mm")</f>
        <v>12:15</v>
      </c>
    </row>
    <row r="736" spans="1:7">
      <c r="A736" s="1" t="s">
        <v>759</v>
      </c>
      <c r="B736" s="2">
        <v>46169.51041666666</v>
      </c>
      <c r="C736" s="1" t="s">
        <v>8</v>
      </c>
      <c r="D736" s="3">
        <v>0</v>
      </c>
      <c r="E736" s="3">
        <v>5</v>
      </c>
      <c r="F736" s="1" t="s">
        <v>15</v>
      </c>
      <c r="G736" s="1" t="str">
        <f>TEXT(RideData[[#This Row],[timestamp]],"hh:mm")</f>
        <v>12:15</v>
      </c>
    </row>
    <row r="737" spans="1:7">
      <c r="A737" s="1" t="s">
        <v>760</v>
      </c>
      <c r="B737" s="2">
        <v>46169.51041666666</v>
      </c>
      <c r="C737" s="1" t="s">
        <v>21</v>
      </c>
      <c r="D737" s="3">
        <v>1201.22</v>
      </c>
      <c r="E737" s="3">
        <v>2.98</v>
      </c>
      <c r="F737" s="1" t="s">
        <v>9</v>
      </c>
      <c r="G737" s="1" t="str">
        <f>TEXT(RideData[[#This Row],[timestamp]],"hh:mm")</f>
        <v>12:15</v>
      </c>
    </row>
    <row r="738" spans="1:7">
      <c r="A738" s="1" t="s">
        <v>761</v>
      </c>
      <c r="B738" s="2">
        <v>46169.51041666666</v>
      </c>
      <c r="C738" s="1" t="s">
        <v>19</v>
      </c>
      <c r="D738" s="3">
        <v>0</v>
      </c>
      <c r="E738" s="3">
        <v>3.73</v>
      </c>
      <c r="F738" s="1" t="s">
        <v>15</v>
      </c>
      <c r="G738" s="1" t="str">
        <f>TEXT(RideData[[#This Row],[timestamp]],"hh:mm")</f>
        <v>12:15</v>
      </c>
    </row>
    <row r="739" spans="1:7">
      <c r="A739" s="1" t="s">
        <v>762</v>
      </c>
      <c r="B739" s="2">
        <v>46169.51041666666</v>
      </c>
      <c r="C739" s="1" t="s">
        <v>19</v>
      </c>
      <c r="D739" s="3">
        <v>0</v>
      </c>
      <c r="E739" s="3">
        <v>4.05</v>
      </c>
      <c r="F739" s="1" t="s">
        <v>17</v>
      </c>
      <c r="G739" s="1" t="str">
        <f>TEXT(RideData[[#This Row],[timestamp]],"hh:mm")</f>
        <v>12:15</v>
      </c>
    </row>
    <row r="740" spans="1:7">
      <c r="A740" s="1" t="s">
        <v>763</v>
      </c>
      <c r="B740" s="2">
        <v>46169.51041666666</v>
      </c>
      <c r="C740" s="1" t="s">
        <v>21</v>
      </c>
      <c r="D740" s="3">
        <v>0</v>
      </c>
      <c r="E740" s="3">
        <v>4.09</v>
      </c>
      <c r="F740" s="1" t="s">
        <v>15</v>
      </c>
      <c r="G740" s="1" t="str">
        <f>TEXT(RideData[[#This Row],[timestamp]],"hh:mm")</f>
        <v>12:15</v>
      </c>
    </row>
    <row r="741" spans="1:7">
      <c r="A741" s="1" t="s">
        <v>764</v>
      </c>
      <c r="B741" s="2">
        <v>46169.51041666666</v>
      </c>
      <c r="C741" s="1" t="s">
        <v>12</v>
      </c>
      <c r="D741" s="3">
        <v>777.64</v>
      </c>
      <c r="E741" s="3">
        <v>3.19</v>
      </c>
      <c r="F741" s="1" t="s">
        <v>9</v>
      </c>
      <c r="G741" s="1" t="str">
        <f>TEXT(RideData[[#This Row],[timestamp]],"hh:mm")</f>
        <v>12:15</v>
      </c>
    </row>
    <row r="742" spans="1:7">
      <c r="A742" s="1" t="s">
        <v>765</v>
      </c>
      <c r="B742" s="2">
        <v>46169.51041666666</v>
      </c>
      <c r="C742" s="1" t="s">
        <v>19</v>
      </c>
      <c r="D742" s="3">
        <v>0</v>
      </c>
      <c r="E742" s="3">
        <v>4.31</v>
      </c>
      <c r="F742" s="1" t="s">
        <v>15</v>
      </c>
      <c r="G742" s="1" t="str">
        <f>TEXT(RideData[[#This Row],[timestamp]],"hh:mm")</f>
        <v>12:15</v>
      </c>
    </row>
    <row r="743" spans="1:7">
      <c r="A743" s="1" t="s">
        <v>766</v>
      </c>
      <c r="B743" s="2">
        <v>46169.51041666666</v>
      </c>
      <c r="C743" s="1" t="s">
        <v>21</v>
      </c>
      <c r="D743" s="3">
        <v>1121.04</v>
      </c>
      <c r="E743" s="3">
        <v>3.71</v>
      </c>
      <c r="F743" s="1" t="s">
        <v>9</v>
      </c>
      <c r="G743" s="1" t="str">
        <f>TEXT(RideData[[#This Row],[timestamp]],"hh:mm")</f>
        <v>12:15</v>
      </c>
    </row>
    <row r="744" spans="1:7">
      <c r="A744" s="1" t="s">
        <v>767</v>
      </c>
      <c r="B744" s="2">
        <v>46169.51041666666</v>
      </c>
      <c r="C744" s="1" t="s">
        <v>21</v>
      </c>
      <c r="D744" s="3">
        <v>1454.59</v>
      </c>
      <c r="E744" s="3">
        <v>3.73</v>
      </c>
      <c r="F744" s="1" t="s">
        <v>9</v>
      </c>
      <c r="G744" s="1" t="str">
        <f>TEXT(RideData[[#This Row],[timestamp]],"hh:mm")</f>
        <v>12:15</v>
      </c>
    </row>
    <row r="745" spans="1:7">
      <c r="A745" s="1" t="s">
        <v>768</v>
      </c>
      <c r="B745" s="2">
        <v>46169.51041666666</v>
      </c>
      <c r="C745" s="1" t="s">
        <v>21</v>
      </c>
      <c r="D745" s="3">
        <v>848.8200000000001</v>
      </c>
      <c r="E745" s="3">
        <v>3.79</v>
      </c>
      <c r="F745" s="1" t="s">
        <v>9</v>
      </c>
      <c r="G745" s="1" t="str">
        <f>TEXT(RideData[[#This Row],[timestamp]],"hh:mm")</f>
        <v>12:15</v>
      </c>
    </row>
    <row r="746" spans="1:7">
      <c r="A746" s="1" t="s">
        <v>769</v>
      </c>
      <c r="B746" s="2">
        <v>46169.51041666666</v>
      </c>
      <c r="C746" s="1" t="s">
        <v>19</v>
      </c>
      <c r="D746" s="3">
        <v>0</v>
      </c>
      <c r="F746" s="1" t="s">
        <v>17</v>
      </c>
      <c r="G746" s="1" t="str">
        <f>TEXT(RideData[[#This Row],[timestamp]],"hh:mm")</f>
        <v>12:15</v>
      </c>
    </row>
    <row r="747" spans="1:7">
      <c r="A747" s="1" t="s">
        <v>770</v>
      </c>
      <c r="B747" s="2">
        <v>46169.51041666666</v>
      </c>
      <c r="C747" s="1" t="s">
        <v>19</v>
      </c>
      <c r="D747" s="3">
        <v>0</v>
      </c>
      <c r="E747" s="3">
        <v>2.9</v>
      </c>
      <c r="F747" s="1" t="s">
        <v>15</v>
      </c>
      <c r="G747" s="1" t="str">
        <f>TEXT(RideData[[#This Row],[timestamp]],"hh:mm")</f>
        <v>12:15</v>
      </c>
    </row>
    <row r="748" spans="1:7">
      <c r="A748" s="1" t="s">
        <v>771</v>
      </c>
      <c r="B748" s="2">
        <v>46169.51041666666</v>
      </c>
      <c r="C748" s="1" t="s">
        <v>8</v>
      </c>
      <c r="D748" s="3">
        <v>3395.02</v>
      </c>
      <c r="E748" s="3">
        <v>4.58</v>
      </c>
      <c r="F748" s="1" t="s">
        <v>9</v>
      </c>
      <c r="G748" s="1" t="str">
        <f>TEXT(RideData[[#This Row],[timestamp]],"hh:mm")</f>
        <v>12:15</v>
      </c>
    </row>
    <row r="749" spans="1:7">
      <c r="A749" s="1" t="s">
        <v>772</v>
      </c>
      <c r="B749" s="2">
        <v>46169.51041666666</v>
      </c>
      <c r="C749" s="1" t="s">
        <v>12</v>
      </c>
      <c r="D749" s="3">
        <v>2624.5</v>
      </c>
      <c r="F749" s="1" t="s">
        <v>9</v>
      </c>
      <c r="G749" s="1" t="str">
        <f>TEXT(RideData[[#This Row],[timestamp]],"hh:mm")</f>
        <v>12:15</v>
      </c>
    </row>
    <row r="750" spans="1:7">
      <c r="A750" s="1" t="s">
        <v>773</v>
      </c>
      <c r="B750" s="2">
        <v>46169.51041666666</v>
      </c>
      <c r="C750" s="1" t="s">
        <v>21</v>
      </c>
      <c r="D750" s="3">
        <v>872.59</v>
      </c>
      <c r="E750" s="3">
        <v>3.99</v>
      </c>
      <c r="F750" s="1" t="s">
        <v>9</v>
      </c>
      <c r="G750" s="1" t="str">
        <f>TEXT(RideData[[#This Row],[timestamp]],"hh:mm")</f>
        <v>12:15</v>
      </c>
    </row>
    <row r="751" spans="1:7">
      <c r="A751" s="1" t="s">
        <v>774</v>
      </c>
      <c r="B751" s="2">
        <v>46169.51041666666</v>
      </c>
      <c r="C751" s="1" t="s">
        <v>8</v>
      </c>
      <c r="D751" s="3">
        <v>798.47</v>
      </c>
      <c r="E751" s="3">
        <v>4.59</v>
      </c>
      <c r="F751" s="1" t="s">
        <v>9</v>
      </c>
      <c r="G751" s="1" t="str">
        <f>TEXT(RideData[[#This Row],[timestamp]],"hh:mm")</f>
        <v>12:15</v>
      </c>
    </row>
    <row r="752" spans="1:7">
      <c r="A752" s="1" t="s">
        <v>775</v>
      </c>
      <c r="B752" s="2">
        <v>46169.51041666666</v>
      </c>
      <c r="C752" s="1" t="s">
        <v>19</v>
      </c>
      <c r="D752" s="3">
        <v>1247.84</v>
      </c>
      <c r="E752" s="3">
        <v>4</v>
      </c>
      <c r="F752" s="1" t="s">
        <v>9</v>
      </c>
      <c r="G752" s="1" t="str">
        <f>TEXT(RideData[[#This Row],[timestamp]],"hh:mm")</f>
        <v>12:15</v>
      </c>
    </row>
    <row r="753" spans="1:7">
      <c r="A753" s="1" t="s">
        <v>776</v>
      </c>
      <c r="B753" s="2">
        <v>46169.51041666666</v>
      </c>
      <c r="C753" s="1" t="s">
        <v>21</v>
      </c>
      <c r="D753" s="3">
        <v>0</v>
      </c>
      <c r="E753" s="3">
        <v>4.01</v>
      </c>
      <c r="F753" s="1" t="s">
        <v>15</v>
      </c>
      <c r="G753" s="1" t="str">
        <f>TEXT(RideData[[#This Row],[timestamp]],"hh:mm")</f>
        <v>12:15</v>
      </c>
    </row>
    <row r="754" spans="1:7">
      <c r="A754" s="1" t="s">
        <v>777</v>
      </c>
      <c r="B754" s="2">
        <v>46169.51041666666</v>
      </c>
      <c r="C754" s="1" t="s">
        <v>12</v>
      </c>
      <c r="D754" s="3">
        <v>1045.95</v>
      </c>
      <c r="E754" s="3">
        <v>3.17</v>
      </c>
      <c r="F754" s="1" t="s">
        <v>9</v>
      </c>
      <c r="G754" s="1" t="str">
        <f>TEXT(RideData[[#This Row],[timestamp]],"hh:mm")</f>
        <v>12:15</v>
      </c>
    </row>
    <row r="755" spans="1:7">
      <c r="A755" s="1" t="s">
        <v>778</v>
      </c>
      <c r="B755" s="2">
        <v>46169.51041666666</v>
      </c>
      <c r="C755" s="1" t="s">
        <v>21</v>
      </c>
      <c r="D755" s="3">
        <v>0</v>
      </c>
      <c r="E755" s="3">
        <v>3.65</v>
      </c>
      <c r="F755" s="1" t="s">
        <v>15</v>
      </c>
      <c r="G755" s="1" t="str">
        <f>TEXT(RideData[[#This Row],[timestamp]],"hh:mm")</f>
        <v>12:15</v>
      </c>
    </row>
    <row r="756" spans="1:7">
      <c r="A756" s="1" t="s">
        <v>779</v>
      </c>
      <c r="B756" s="2">
        <v>46169.51041666666</v>
      </c>
      <c r="C756" s="1" t="s">
        <v>8</v>
      </c>
      <c r="D756" s="3">
        <v>1097.15</v>
      </c>
      <c r="E756" s="3">
        <v>3.65</v>
      </c>
      <c r="F756" s="1" t="s">
        <v>9</v>
      </c>
      <c r="G756" s="1" t="str">
        <f>TEXT(RideData[[#This Row],[timestamp]],"hh:mm")</f>
        <v>12:15</v>
      </c>
    </row>
    <row r="757" spans="1:7">
      <c r="A757" s="1" t="s">
        <v>780</v>
      </c>
      <c r="B757" s="2">
        <v>46169.51041666666</v>
      </c>
      <c r="C757" s="1" t="s">
        <v>8</v>
      </c>
      <c r="D757" s="3">
        <v>1323.38</v>
      </c>
      <c r="E757" s="3">
        <v>4.21</v>
      </c>
      <c r="F757" s="1" t="s">
        <v>9</v>
      </c>
      <c r="G757" s="1" t="str">
        <f>TEXT(RideData[[#This Row],[timestamp]],"hh:mm")</f>
        <v>12:15</v>
      </c>
    </row>
    <row r="758" spans="1:7">
      <c r="A758" s="1" t="s">
        <v>781</v>
      </c>
      <c r="B758" s="2">
        <v>46169.51041666666</v>
      </c>
      <c r="C758" s="1" t="s">
        <v>21</v>
      </c>
      <c r="D758" s="3">
        <v>1706.92</v>
      </c>
      <c r="E758" s="3">
        <v>4.18</v>
      </c>
      <c r="F758" s="1" t="s">
        <v>9</v>
      </c>
      <c r="G758" s="1" t="str">
        <f>TEXT(RideData[[#This Row],[timestamp]],"hh:mm")</f>
        <v>12:15</v>
      </c>
    </row>
    <row r="759" spans="1:7">
      <c r="A759" s="1" t="s">
        <v>782</v>
      </c>
      <c r="B759" s="2">
        <v>46169.51041666666</v>
      </c>
      <c r="C759" s="1" t="s">
        <v>21</v>
      </c>
      <c r="D759" s="3">
        <v>2879.13</v>
      </c>
      <c r="E759" s="3">
        <v>4.33</v>
      </c>
      <c r="F759" s="1" t="s">
        <v>9</v>
      </c>
      <c r="G759" s="1" t="str">
        <f>TEXT(RideData[[#This Row],[timestamp]],"hh:mm")</f>
        <v>12:15</v>
      </c>
    </row>
    <row r="760" spans="1:7">
      <c r="A760" s="1" t="s">
        <v>783</v>
      </c>
      <c r="B760" s="2">
        <v>46169.51041666666</v>
      </c>
      <c r="C760" s="1" t="s">
        <v>21</v>
      </c>
      <c r="D760" s="3">
        <v>0</v>
      </c>
      <c r="E760" s="3">
        <v>4.43</v>
      </c>
      <c r="F760" s="1" t="s">
        <v>15</v>
      </c>
      <c r="G760" s="1" t="str">
        <f>TEXT(RideData[[#This Row],[timestamp]],"hh:mm")</f>
        <v>12:15</v>
      </c>
    </row>
    <row r="761" spans="1:7">
      <c r="A761" s="1" t="s">
        <v>784</v>
      </c>
      <c r="B761" s="2">
        <v>46169.51041666666</v>
      </c>
      <c r="C761" s="1" t="s">
        <v>12</v>
      </c>
      <c r="D761" s="3">
        <v>2394.62</v>
      </c>
      <c r="F761" s="1" t="s">
        <v>9</v>
      </c>
      <c r="G761" s="1" t="str">
        <f>TEXT(RideData[[#This Row],[timestamp]],"hh:mm")</f>
        <v>12:15</v>
      </c>
    </row>
    <row r="762" spans="1:7">
      <c r="A762" s="1" t="s">
        <v>785</v>
      </c>
      <c r="B762" s="2">
        <v>46169.51041666666</v>
      </c>
      <c r="C762" s="1" t="s">
        <v>19</v>
      </c>
      <c r="D762" s="3">
        <v>1482.89</v>
      </c>
      <c r="E762" s="3">
        <v>4.2</v>
      </c>
      <c r="F762" s="1" t="s">
        <v>9</v>
      </c>
      <c r="G762" s="1" t="str">
        <f>TEXT(RideData[[#This Row],[timestamp]],"hh:mm")</f>
        <v>12:15</v>
      </c>
    </row>
    <row r="763" spans="1:7">
      <c r="A763" s="1" t="s">
        <v>786</v>
      </c>
      <c r="B763" s="2">
        <v>46169.51041666666</v>
      </c>
      <c r="C763" s="1" t="s">
        <v>8</v>
      </c>
      <c r="D763" s="3">
        <v>2408.82</v>
      </c>
      <c r="E763" s="3">
        <v>3.73</v>
      </c>
      <c r="F763" s="1" t="s">
        <v>9</v>
      </c>
      <c r="G763" s="1" t="str">
        <f>TEXT(RideData[[#This Row],[timestamp]],"hh:mm")</f>
        <v>12:15</v>
      </c>
    </row>
    <row r="764" spans="1:7">
      <c r="A764" s="1" t="s">
        <v>787</v>
      </c>
      <c r="B764" s="2">
        <v>46169.51041666666</v>
      </c>
      <c r="C764" s="1" t="s">
        <v>8</v>
      </c>
      <c r="D764" s="3">
        <v>0</v>
      </c>
      <c r="E764" s="3">
        <v>4.8</v>
      </c>
      <c r="F764" s="1" t="s">
        <v>15</v>
      </c>
      <c r="G764" s="1" t="str">
        <f>TEXT(RideData[[#This Row],[timestamp]],"hh:mm")</f>
        <v>12:15</v>
      </c>
    </row>
    <row r="765" spans="1:7">
      <c r="A765" s="1" t="s">
        <v>788</v>
      </c>
      <c r="B765" s="2">
        <v>46169.51041666666</v>
      </c>
      <c r="C765" s="1" t="s">
        <v>21</v>
      </c>
      <c r="D765" s="3">
        <v>672.3200000000001</v>
      </c>
      <c r="F765" s="1" t="s">
        <v>9</v>
      </c>
      <c r="G765" s="1" t="str">
        <f>TEXT(RideData[[#This Row],[timestamp]],"hh:mm")</f>
        <v>12:15</v>
      </c>
    </row>
    <row r="766" spans="1:7">
      <c r="A766" s="1" t="s">
        <v>789</v>
      </c>
      <c r="B766" s="2">
        <v>46169.51041666666</v>
      </c>
      <c r="C766" s="1" t="s">
        <v>19</v>
      </c>
      <c r="D766" s="3">
        <v>1090.05</v>
      </c>
      <c r="E766" s="3">
        <v>3.14</v>
      </c>
      <c r="F766" s="1" t="s">
        <v>9</v>
      </c>
      <c r="G766" s="1" t="str">
        <f>TEXT(RideData[[#This Row],[timestamp]],"hh:mm")</f>
        <v>12:15</v>
      </c>
    </row>
    <row r="767" spans="1:7">
      <c r="A767" s="1" t="s">
        <v>790</v>
      </c>
      <c r="B767" s="2">
        <v>46169.51041666666</v>
      </c>
      <c r="C767" s="1" t="s">
        <v>12</v>
      </c>
      <c r="D767" s="3">
        <v>0</v>
      </c>
      <c r="E767" s="3">
        <v>3.89</v>
      </c>
      <c r="F767" s="1" t="s">
        <v>17</v>
      </c>
      <c r="G767" s="1" t="str">
        <f>TEXT(RideData[[#This Row],[timestamp]],"hh:mm")</f>
        <v>12:15</v>
      </c>
    </row>
    <row r="768" spans="1:7">
      <c r="A768" s="1" t="s">
        <v>791</v>
      </c>
      <c r="B768" s="2">
        <v>46169.51041666666</v>
      </c>
      <c r="C768" s="1" t="s">
        <v>12</v>
      </c>
      <c r="D768" s="3">
        <v>1714.98</v>
      </c>
      <c r="E768" s="3">
        <v>3.81</v>
      </c>
      <c r="F768" s="1" t="s">
        <v>9</v>
      </c>
      <c r="G768" s="1" t="str">
        <f>TEXT(RideData[[#This Row],[timestamp]],"hh:mm")</f>
        <v>12:15</v>
      </c>
    </row>
    <row r="769" spans="1:7">
      <c r="A769" s="1" t="s">
        <v>792</v>
      </c>
      <c r="B769" s="2">
        <v>46169.51388888889</v>
      </c>
      <c r="C769" s="1" t="s">
        <v>12</v>
      </c>
      <c r="D769" s="3">
        <v>1056.92</v>
      </c>
      <c r="E769" s="3">
        <v>3.98</v>
      </c>
      <c r="F769" s="1" t="s">
        <v>9</v>
      </c>
      <c r="G769" s="1" t="str">
        <f>TEXT(RideData[[#This Row],[timestamp]],"hh:mm")</f>
        <v>12:20</v>
      </c>
    </row>
    <row r="770" spans="1:7">
      <c r="A770" s="1" t="s">
        <v>794</v>
      </c>
      <c r="B770" s="2">
        <v>46169.51388888889</v>
      </c>
      <c r="C770" s="1" t="s">
        <v>21</v>
      </c>
      <c r="D770" s="3">
        <v>2227.78</v>
      </c>
      <c r="E770" s="3">
        <v>3.94</v>
      </c>
      <c r="F770" s="1" t="s">
        <v>9</v>
      </c>
      <c r="G770" s="1" t="str">
        <f>TEXT(RideData[[#This Row],[timestamp]],"hh:mm")</f>
        <v>12:20</v>
      </c>
    </row>
    <row r="771" spans="1:7">
      <c r="A771" s="1" t="s">
        <v>795</v>
      </c>
      <c r="B771" s="2">
        <v>46169.51388888889</v>
      </c>
      <c r="C771" s="1" t="s">
        <v>12</v>
      </c>
      <c r="D771" s="3">
        <v>1874.82</v>
      </c>
      <c r="E771" s="3">
        <v>4.1</v>
      </c>
      <c r="F771" s="1" t="s">
        <v>9</v>
      </c>
      <c r="G771" s="1" t="str">
        <f>TEXT(RideData[[#This Row],[timestamp]],"hh:mm")</f>
        <v>12:20</v>
      </c>
    </row>
    <row r="772" spans="1:7">
      <c r="A772" s="1" t="s">
        <v>796</v>
      </c>
      <c r="B772" s="2">
        <v>46169.51388888889</v>
      </c>
      <c r="C772" s="1" t="s">
        <v>8</v>
      </c>
      <c r="D772" s="3">
        <v>0</v>
      </c>
      <c r="E772" s="3">
        <v>4.76</v>
      </c>
      <c r="F772" s="1" t="s">
        <v>17</v>
      </c>
      <c r="G772" s="1" t="str">
        <f>TEXT(RideData[[#This Row],[timestamp]],"hh:mm")</f>
        <v>12:20</v>
      </c>
    </row>
    <row r="773" spans="1:7">
      <c r="A773" s="1" t="s">
        <v>797</v>
      </c>
      <c r="B773" s="2">
        <v>46169.51388888889</v>
      </c>
      <c r="C773" s="1" t="s">
        <v>8</v>
      </c>
      <c r="D773" s="3">
        <v>1128.22</v>
      </c>
      <c r="E773" s="3">
        <v>3.95</v>
      </c>
      <c r="F773" s="1" t="s">
        <v>9</v>
      </c>
      <c r="G773" s="1" t="str">
        <f>TEXT(RideData[[#This Row],[timestamp]],"hh:mm")</f>
        <v>12:20</v>
      </c>
    </row>
    <row r="774" spans="1:7">
      <c r="A774" s="1" t="s">
        <v>798</v>
      </c>
      <c r="B774" s="2">
        <v>46169.51388888889</v>
      </c>
      <c r="C774" s="1" t="s">
        <v>21</v>
      </c>
      <c r="D774" s="3">
        <v>1526.06</v>
      </c>
      <c r="E774" s="3">
        <v>4.66</v>
      </c>
      <c r="F774" s="1" t="s">
        <v>9</v>
      </c>
      <c r="G774" s="1" t="str">
        <f>TEXT(RideData[[#This Row],[timestamp]],"hh:mm")</f>
        <v>12:20</v>
      </c>
    </row>
    <row r="775" spans="1:7">
      <c r="A775" s="1" t="s">
        <v>799</v>
      </c>
      <c r="B775" s="2">
        <v>46169.51388888889</v>
      </c>
      <c r="C775" s="1" t="s">
        <v>8</v>
      </c>
      <c r="D775" s="3">
        <v>1306.67</v>
      </c>
      <c r="E775" s="3">
        <v>4.41</v>
      </c>
      <c r="F775" s="1" t="s">
        <v>9</v>
      </c>
      <c r="G775" s="1" t="str">
        <f>TEXT(RideData[[#This Row],[timestamp]],"hh:mm")</f>
        <v>12:20</v>
      </c>
    </row>
    <row r="776" spans="1:7">
      <c r="A776" s="1" t="s">
        <v>800</v>
      </c>
      <c r="B776" s="2">
        <v>46169.51388888889</v>
      </c>
      <c r="C776" s="1" t="s">
        <v>21</v>
      </c>
      <c r="D776" s="3">
        <v>725.2</v>
      </c>
      <c r="E776" s="3">
        <v>4.57</v>
      </c>
      <c r="F776" s="1" t="s">
        <v>9</v>
      </c>
      <c r="G776" s="1" t="str">
        <f>TEXT(RideData[[#This Row],[timestamp]],"hh:mm")</f>
        <v>12:20</v>
      </c>
    </row>
    <row r="777" spans="1:7">
      <c r="A777" s="1" t="s">
        <v>801</v>
      </c>
      <c r="B777" s="2">
        <v>46169.51388888889</v>
      </c>
      <c r="C777" s="1" t="s">
        <v>12</v>
      </c>
      <c r="D777" s="3">
        <v>3219.98</v>
      </c>
      <c r="F777" s="1" t="s">
        <v>9</v>
      </c>
      <c r="G777" s="1" t="str">
        <f>TEXT(RideData[[#This Row],[timestamp]],"hh:mm")</f>
        <v>12:20</v>
      </c>
    </row>
    <row r="778" spans="1:7">
      <c r="A778" s="1" t="s">
        <v>802</v>
      </c>
      <c r="B778" s="2">
        <v>46169.51388888889</v>
      </c>
      <c r="C778" s="1" t="s">
        <v>12</v>
      </c>
      <c r="D778" s="3">
        <v>917.79</v>
      </c>
      <c r="E778" s="3">
        <v>3.53</v>
      </c>
      <c r="F778" s="1" t="s">
        <v>9</v>
      </c>
      <c r="G778" s="1" t="str">
        <f>TEXT(RideData[[#This Row],[timestamp]],"hh:mm")</f>
        <v>12:20</v>
      </c>
    </row>
    <row r="779" spans="1:7">
      <c r="A779" s="1" t="s">
        <v>803</v>
      </c>
      <c r="B779" s="2">
        <v>46169.51388888889</v>
      </c>
      <c r="C779" s="1" t="s">
        <v>19</v>
      </c>
      <c r="D779" s="3">
        <v>636.4299999999999</v>
      </c>
      <c r="E779" s="3">
        <v>4.36</v>
      </c>
      <c r="F779" s="1" t="s">
        <v>9</v>
      </c>
      <c r="G779" s="1" t="str">
        <f>TEXT(RideData[[#This Row],[timestamp]],"hh:mm")</f>
        <v>12:20</v>
      </c>
    </row>
    <row r="780" spans="1:7">
      <c r="A780" s="1" t="s">
        <v>804</v>
      </c>
      <c r="B780" s="2">
        <v>46169.51388888889</v>
      </c>
      <c r="C780" s="1" t="s">
        <v>8</v>
      </c>
      <c r="D780" s="3">
        <v>0</v>
      </c>
      <c r="E780" s="3">
        <v>3.67</v>
      </c>
      <c r="F780" s="1" t="s">
        <v>15</v>
      </c>
      <c r="G780" s="1" t="str">
        <f>TEXT(RideData[[#This Row],[timestamp]],"hh:mm")</f>
        <v>12:20</v>
      </c>
    </row>
    <row r="781" spans="1:7">
      <c r="A781" s="1" t="s">
        <v>805</v>
      </c>
      <c r="B781" s="2">
        <v>46169.51388888889</v>
      </c>
      <c r="C781" s="1" t="s">
        <v>8</v>
      </c>
      <c r="D781" s="3">
        <v>0</v>
      </c>
      <c r="E781" s="3">
        <v>3.73</v>
      </c>
      <c r="F781" s="1" t="s">
        <v>17</v>
      </c>
      <c r="G781" s="1" t="str">
        <f>TEXT(RideData[[#This Row],[timestamp]],"hh:mm")</f>
        <v>12:20</v>
      </c>
    </row>
    <row r="782" spans="1:7">
      <c r="A782" s="1" t="s">
        <v>806</v>
      </c>
      <c r="B782" s="2">
        <v>46169.51388888889</v>
      </c>
      <c r="C782" s="1" t="s">
        <v>12</v>
      </c>
      <c r="D782" s="3">
        <v>0</v>
      </c>
      <c r="E782" s="3">
        <v>3.55</v>
      </c>
      <c r="F782" s="1" t="s">
        <v>15</v>
      </c>
      <c r="G782" s="1" t="str">
        <f>TEXT(RideData[[#This Row],[timestamp]],"hh:mm")</f>
        <v>12:20</v>
      </c>
    </row>
    <row r="783" spans="1:7">
      <c r="A783" s="1" t="s">
        <v>807</v>
      </c>
      <c r="B783" s="2">
        <v>46169.51388888889</v>
      </c>
      <c r="C783" s="1" t="s">
        <v>12</v>
      </c>
      <c r="D783" s="3">
        <v>768.95</v>
      </c>
      <c r="E783" s="3">
        <v>4.19</v>
      </c>
      <c r="F783" s="1" t="s">
        <v>9</v>
      </c>
      <c r="G783" s="1" t="str">
        <f>TEXT(RideData[[#This Row],[timestamp]],"hh:mm")</f>
        <v>12:20</v>
      </c>
    </row>
    <row r="784" spans="1:7">
      <c r="A784" s="1" t="s">
        <v>808</v>
      </c>
      <c r="B784" s="2">
        <v>46169.51388888889</v>
      </c>
      <c r="C784" s="1" t="s">
        <v>21</v>
      </c>
      <c r="D784" s="3">
        <v>613.1</v>
      </c>
      <c r="F784" s="1" t="s">
        <v>9</v>
      </c>
      <c r="G784" s="1" t="str">
        <f>TEXT(RideData[[#This Row],[timestamp]],"hh:mm")</f>
        <v>12:20</v>
      </c>
    </row>
    <row r="785" spans="1:7">
      <c r="A785" s="1" t="s">
        <v>809</v>
      </c>
      <c r="B785" s="2">
        <v>46169.51388888889</v>
      </c>
      <c r="C785" s="1" t="s">
        <v>12</v>
      </c>
      <c r="D785" s="3">
        <v>1389.05</v>
      </c>
      <c r="F785" s="1" t="s">
        <v>9</v>
      </c>
      <c r="G785" s="1" t="str">
        <f>TEXT(RideData[[#This Row],[timestamp]],"hh:mm")</f>
        <v>12:20</v>
      </c>
    </row>
    <row r="786" spans="1:7">
      <c r="A786" s="1" t="s">
        <v>810</v>
      </c>
      <c r="B786" s="2">
        <v>46169.51388888889</v>
      </c>
      <c r="C786" s="1" t="s">
        <v>21</v>
      </c>
      <c r="D786" s="3">
        <v>2839.65</v>
      </c>
      <c r="E786" s="3">
        <v>3.64</v>
      </c>
      <c r="F786" s="1" t="s">
        <v>9</v>
      </c>
      <c r="G786" s="1" t="str">
        <f>TEXT(RideData[[#This Row],[timestamp]],"hh:mm")</f>
        <v>12:20</v>
      </c>
    </row>
    <row r="787" spans="1:7">
      <c r="A787" s="1" t="s">
        <v>811</v>
      </c>
      <c r="B787" s="2">
        <v>46169.51388888889</v>
      </c>
      <c r="C787" s="1" t="s">
        <v>19</v>
      </c>
      <c r="D787" s="3">
        <v>1480.25</v>
      </c>
      <c r="E787" s="3">
        <v>2.3</v>
      </c>
      <c r="F787" s="1" t="s">
        <v>9</v>
      </c>
      <c r="G787" s="1" t="str">
        <f>TEXT(RideData[[#This Row],[timestamp]],"hh:mm")</f>
        <v>12:20</v>
      </c>
    </row>
    <row r="788" spans="1:7">
      <c r="A788" s="1" t="s">
        <v>812</v>
      </c>
      <c r="B788" s="2">
        <v>46169.51388888889</v>
      </c>
      <c r="C788" s="1" t="s">
        <v>8</v>
      </c>
      <c r="D788" s="3">
        <v>1867.3</v>
      </c>
      <c r="F788" s="1" t="s">
        <v>9</v>
      </c>
      <c r="G788" s="1" t="str">
        <f>TEXT(RideData[[#This Row],[timestamp]],"hh:mm")</f>
        <v>12:20</v>
      </c>
    </row>
    <row r="789" spans="1:7">
      <c r="A789" s="1" t="s">
        <v>813</v>
      </c>
      <c r="B789" s="2">
        <v>46169.51388888889</v>
      </c>
      <c r="C789" s="1" t="s">
        <v>8</v>
      </c>
      <c r="D789" s="3">
        <v>782.3099999999999</v>
      </c>
      <c r="E789" s="3">
        <v>4.13</v>
      </c>
      <c r="F789" s="1" t="s">
        <v>9</v>
      </c>
      <c r="G789" s="1" t="str">
        <f>TEXT(RideData[[#This Row],[timestamp]],"hh:mm")</f>
        <v>12:20</v>
      </c>
    </row>
    <row r="790" spans="1:7">
      <c r="A790" s="1" t="s">
        <v>814</v>
      </c>
      <c r="B790" s="2">
        <v>46169.51388888889</v>
      </c>
      <c r="C790" s="1" t="s">
        <v>21</v>
      </c>
      <c r="D790" s="3">
        <v>0</v>
      </c>
      <c r="E790" s="3">
        <v>3.9</v>
      </c>
      <c r="F790" s="1" t="s">
        <v>15</v>
      </c>
      <c r="G790" s="1" t="str">
        <f>TEXT(RideData[[#This Row],[timestamp]],"hh:mm")</f>
        <v>12:20</v>
      </c>
    </row>
    <row r="791" spans="1:7">
      <c r="A791" s="1" t="s">
        <v>815</v>
      </c>
      <c r="B791" s="2">
        <v>46169.51388888889</v>
      </c>
      <c r="C791" s="1" t="s">
        <v>12</v>
      </c>
      <c r="D791" s="3">
        <v>1809.54</v>
      </c>
      <c r="E791" s="3">
        <v>4.05</v>
      </c>
      <c r="F791" s="1" t="s">
        <v>9</v>
      </c>
      <c r="G791" s="1" t="str">
        <f>TEXT(RideData[[#This Row],[timestamp]],"hh:mm")</f>
        <v>12:20</v>
      </c>
    </row>
    <row r="792" spans="1:7">
      <c r="A792" s="1" t="s">
        <v>816</v>
      </c>
      <c r="B792" s="2">
        <v>46169.51388888889</v>
      </c>
      <c r="C792" s="1" t="s">
        <v>12</v>
      </c>
      <c r="D792" s="3">
        <v>0</v>
      </c>
      <c r="E792" s="3">
        <v>4.2</v>
      </c>
      <c r="F792" s="1" t="s">
        <v>15</v>
      </c>
      <c r="G792" s="1" t="str">
        <f>TEXT(RideData[[#This Row],[timestamp]],"hh:mm")</f>
        <v>12:20</v>
      </c>
    </row>
    <row r="793" spans="1:7">
      <c r="A793" s="1" t="s">
        <v>817</v>
      </c>
      <c r="B793" s="2">
        <v>46169.51388888889</v>
      </c>
      <c r="C793" s="1" t="s">
        <v>19</v>
      </c>
      <c r="D793" s="3">
        <v>1053.81</v>
      </c>
      <c r="E793" s="3">
        <v>4.67</v>
      </c>
      <c r="F793" s="1" t="s">
        <v>9</v>
      </c>
      <c r="G793" s="1" t="str">
        <f>TEXT(RideData[[#This Row],[timestamp]],"hh:mm")</f>
        <v>12:20</v>
      </c>
    </row>
    <row r="794" spans="1:7">
      <c r="A794" s="1" t="s">
        <v>818</v>
      </c>
      <c r="B794" s="2">
        <v>46169.51388888889</v>
      </c>
      <c r="C794" s="1" t="s">
        <v>21</v>
      </c>
      <c r="D794" s="3">
        <v>1500.81</v>
      </c>
      <c r="E794" s="3">
        <v>3.65</v>
      </c>
      <c r="F794" s="1" t="s">
        <v>9</v>
      </c>
      <c r="G794" s="1" t="str">
        <f>TEXT(RideData[[#This Row],[timestamp]],"hh:mm")</f>
        <v>12:20</v>
      </c>
    </row>
    <row r="795" spans="1:7">
      <c r="A795" s="1" t="s">
        <v>819</v>
      </c>
      <c r="B795" s="2">
        <v>46169.51388888889</v>
      </c>
      <c r="C795" s="1" t="s">
        <v>19</v>
      </c>
      <c r="D795" s="3">
        <v>2129.69</v>
      </c>
      <c r="E795" s="3">
        <v>3.97</v>
      </c>
      <c r="F795" s="1" t="s">
        <v>9</v>
      </c>
      <c r="G795" s="1" t="str">
        <f>TEXT(RideData[[#This Row],[timestamp]],"hh:mm")</f>
        <v>12:20</v>
      </c>
    </row>
    <row r="796" spans="1:7">
      <c r="A796" s="1" t="s">
        <v>820</v>
      </c>
      <c r="B796" s="2">
        <v>46169.51388888889</v>
      </c>
      <c r="C796" s="1" t="s">
        <v>21</v>
      </c>
      <c r="D796" s="3">
        <v>1642.59</v>
      </c>
      <c r="E796" s="3">
        <v>4.32</v>
      </c>
      <c r="F796" s="1" t="s">
        <v>9</v>
      </c>
      <c r="G796" s="1" t="str">
        <f>TEXT(RideData[[#This Row],[timestamp]],"hh:mm")</f>
        <v>12:20</v>
      </c>
    </row>
    <row r="797" spans="1:7">
      <c r="A797" s="1" t="s">
        <v>821</v>
      </c>
      <c r="B797" s="2">
        <v>46169.51388888889</v>
      </c>
      <c r="C797" s="1" t="s">
        <v>8</v>
      </c>
      <c r="D797" s="3">
        <v>1596.7</v>
      </c>
      <c r="E797" s="3">
        <v>3.82</v>
      </c>
      <c r="F797" s="1" t="s">
        <v>9</v>
      </c>
      <c r="G797" s="1" t="str">
        <f>TEXT(RideData[[#This Row],[timestamp]],"hh:mm")</f>
        <v>12:20</v>
      </c>
    </row>
    <row r="798" spans="1:7">
      <c r="A798" s="1" t="s">
        <v>822</v>
      </c>
      <c r="B798" s="2">
        <v>46169.51388888889</v>
      </c>
      <c r="C798" s="1" t="s">
        <v>21</v>
      </c>
      <c r="D798" s="3">
        <v>0</v>
      </c>
      <c r="E798" s="3">
        <v>3.82</v>
      </c>
      <c r="F798" s="1" t="s">
        <v>17</v>
      </c>
      <c r="G798" s="1" t="str">
        <f>TEXT(RideData[[#This Row],[timestamp]],"hh:mm")</f>
        <v>12:20</v>
      </c>
    </row>
    <row r="799" spans="1:7">
      <c r="A799" s="1" t="s">
        <v>823</v>
      </c>
      <c r="B799" s="2">
        <v>46169.51388888889</v>
      </c>
      <c r="C799" s="1" t="s">
        <v>21</v>
      </c>
      <c r="D799" s="3">
        <v>1072.41</v>
      </c>
      <c r="E799" s="3">
        <v>4.44</v>
      </c>
      <c r="F799" s="1" t="s">
        <v>9</v>
      </c>
      <c r="G799" s="1" t="str">
        <f>TEXT(RideData[[#This Row],[timestamp]],"hh:mm")</f>
        <v>12:20</v>
      </c>
    </row>
    <row r="800" spans="1:7">
      <c r="A800" s="1" t="s">
        <v>824</v>
      </c>
      <c r="B800" s="2">
        <v>46169.51388888889</v>
      </c>
      <c r="C800" s="1" t="s">
        <v>12</v>
      </c>
      <c r="D800" s="3">
        <v>1126.2</v>
      </c>
      <c r="E800" s="3">
        <v>4.02</v>
      </c>
      <c r="F800" s="1" t="s">
        <v>9</v>
      </c>
      <c r="G800" s="1" t="str">
        <f>TEXT(RideData[[#This Row],[timestamp]],"hh:mm")</f>
        <v>12:20</v>
      </c>
    </row>
    <row r="801" spans="1:7">
      <c r="A801" s="1" t="s">
        <v>825</v>
      </c>
      <c r="B801" s="2">
        <v>46169.51388888889</v>
      </c>
      <c r="C801" s="1" t="s">
        <v>8</v>
      </c>
      <c r="D801" s="3">
        <v>0</v>
      </c>
      <c r="E801" s="3">
        <v>4.33</v>
      </c>
      <c r="F801" s="1" t="s">
        <v>15</v>
      </c>
      <c r="G801" s="1" t="str">
        <f>TEXT(RideData[[#This Row],[timestamp]],"hh:mm")</f>
        <v>12:20</v>
      </c>
    </row>
    <row r="802" spans="1:7">
      <c r="A802" s="1" t="s">
        <v>826</v>
      </c>
      <c r="B802" s="2">
        <v>46169.51388888889</v>
      </c>
      <c r="C802" s="1" t="s">
        <v>21</v>
      </c>
      <c r="D802" s="3">
        <v>836.05</v>
      </c>
      <c r="E802" s="3">
        <v>4.47</v>
      </c>
      <c r="F802" s="1" t="s">
        <v>9</v>
      </c>
      <c r="G802" s="1" t="str">
        <f>TEXT(RideData[[#This Row],[timestamp]],"hh:mm")</f>
        <v>12:20</v>
      </c>
    </row>
    <row r="803" spans="1:7">
      <c r="A803" s="1" t="s">
        <v>827</v>
      </c>
      <c r="B803" s="2">
        <v>46169.51388888889</v>
      </c>
      <c r="C803" s="1" t="s">
        <v>21</v>
      </c>
      <c r="D803" s="3">
        <v>0</v>
      </c>
      <c r="E803" s="3">
        <v>4.13</v>
      </c>
      <c r="F803" s="1" t="s">
        <v>17</v>
      </c>
      <c r="G803" s="1" t="str">
        <f>TEXT(RideData[[#This Row],[timestamp]],"hh:mm")</f>
        <v>12:20</v>
      </c>
    </row>
    <row r="804" spans="1:7">
      <c r="A804" s="1" t="s">
        <v>828</v>
      </c>
      <c r="B804" s="2">
        <v>46169.51388888889</v>
      </c>
      <c r="C804" s="1" t="s">
        <v>8</v>
      </c>
      <c r="D804" s="3">
        <v>0</v>
      </c>
      <c r="E804" s="3">
        <v>5</v>
      </c>
      <c r="F804" s="1" t="s">
        <v>15</v>
      </c>
      <c r="G804" s="1" t="str">
        <f>TEXT(RideData[[#This Row],[timestamp]],"hh:mm")</f>
        <v>12:20</v>
      </c>
    </row>
    <row r="805" spans="1:7">
      <c r="A805" s="1" t="s">
        <v>829</v>
      </c>
      <c r="B805" s="2">
        <v>46169.51388888889</v>
      </c>
      <c r="C805" s="1" t="s">
        <v>19</v>
      </c>
      <c r="D805" s="3">
        <v>1252.62</v>
      </c>
      <c r="E805" s="3">
        <v>4.73</v>
      </c>
      <c r="F805" s="1" t="s">
        <v>9</v>
      </c>
      <c r="G805" s="1" t="str">
        <f>TEXT(RideData[[#This Row],[timestamp]],"hh:mm")</f>
        <v>12:20</v>
      </c>
    </row>
    <row r="806" spans="1:7">
      <c r="A806" s="1" t="s">
        <v>830</v>
      </c>
      <c r="B806" s="2">
        <v>46169.51388888889</v>
      </c>
      <c r="C806" s="1" t="s">
        <v>12</v>
      </c>
      <c r="D806" s="3">
        <v>0</v>
      </c>
      <c r="E806" s="3">
        <v>4.26</v>
      </c>
      <c r="F806" s="1" t="s">
        <v>17</v>
      </c>
      <c r="G806" s="1" t="str">
        <f>TEXT(RideData[[#This Row],[timestamp]],"hh:mm")</f>
        <v>12:20</v>
      </c>
    </row>
    <row r="807" spans="1:7">
      <c r="A807" s="1" t="s">
        <v>831</v>
      </c>
      <c r="B807" s="2">
        <v>46169.51388888889</v>
      </c>
      <c r="C807" s="1" t="s">
        <v>8</v>
      </c>
      <c r="D807" s="3">
        <v>0</v>
      </c>
      <c r="E807" s="3">
        <v>3.4</v>
      </c>
      <c r="F807" s="1" t="s">
        <v>15</v>
      </c>
      <c r="G807" s="1" t="str">
        <f>TEXT(RideData[[#This Row],[timestamp]],"hh:mm")</f>
        <v>12:20</v>
      </c>
    </row>
    <row r="808" spans="1:7">
      <c r="A808" s="1" t="s">
        <v>832</v>
      </c>
      <c r="B808" s="2">
        <v>46169.51388888889</v>
      </c>
      <c r="C808" s="1" t="s">
        <v>21</v>
      </c>
      <c r="D808" s="3">
        <v>857.87</v>
      </c>
      <c r="E808" s="3">
        <v>5</v>
      </c>
      <c r="F808" s="1" t="s">
        <v>9</v>
      </c>
      <c r="G808" s="1" t="str">
        <f>TEXT(RideData[[#This Row],[timestamp]],"hh:mm")</f>
        <v>12:20</v>
      </c>
    </row>
    <row r="809" spans="1:7">
      <c r="A809" s="1" t="s">
        <v>833</v>
      </c>
      <c r="B809" s="2">
        <v>46169.51388888889</v>
      </c>
      <c r="C809" s="1" t="s">
        <v>12</v>
      </c>
      <c r="D809" s="3">
        <v>922.83</v>
      </c>
      <c r="F809" s="1" t="s">
        <v>9</v>
      </c>
      <c r="G809" s="1" t="str">
        <f>TEXT(RideData[[#This Row],[timestamp]],"hh:mm")</f>
        <v>12:20</v>
      </c>
    </row>
    <row r="810" spans="1:7">
      <c r="A810" s="1" t="s">
        <v>834</v>
      </c>
      <c r="B810" s="2">
        <v>46169.51388888889</v>
      </c>
      <c r="C810" s="1" t="s">
        <v>12</v>
      </c>
      <c r="D810" s="3">
        <v>1255.31</v>
      </c>
      <c r="E810" s="3">
        <v>3.2</v>
      </c>
      <c r="F810" s="1" t="s">
        <v>9</v>
      </c>
      <c r="G810" s="1" t="str">
        <f>TEXT(RideData[[#This Row],[timestamp]],"hh:mm")</f>
        <v>12:20</v>
      </c>
    </row>
    <row r="811" spans="1:7">
      <c r="A811" s="1" t="s">
        <v>835</v>
      </c>
      <c r="B811" s="2">
        <v>46169.51388888889</v>
      </c>
      <c r="C811" s="1" t="s">
        <v>8</v>
      </c>
      <c r="D811" s="3">
        <v>1246.76</v>
      </c>
      <c r="E811" s="3">
        <v>4.14</v>
      </c>
      <c r="F811" s="1" t="s">
        <v>9</v>
      </c>
      <c r="G811" s="1" t="str">
        <f>TEXT(RideData[[#This Row],[timestamp]],"hh:mm")</f>
        <v>12:20</v>
      </c>
    </row>
    <row r="812" spans="1:7">
      <c r="A812" s="1" t="s">
        <v>836</v>
      </c>
      <c r="B812" s="2">
        <v>46169.51388888889</v>
      </c>
      <c r="C812" s="1" t="s">
        <v>8</v>
      </c>
      <c r="D812" s="3">
        <v>996.24</v>
      </c>
      <c r="E812" s="3">
        <v>3.72</v>
      </c>
      <c r="F812" s="1" t="s">
        <v>9</v>
      </c>
      <c r="G812" s="1" t="str">
        <f>TEXT(RideData[[#This Row],[timestamp]],"hh:mm")</f>
        <v>12:20</v>
      </c>
    </row>
    <row r="813" spans="1:7">
      <c r="A813" s="1" t="s">
        <v>837</v>
      </c>
      <c r="B813" s="2">
        <v>46169.51388888889</v>
      </c>
      <c r="C813" s="1" t="s">
        <v>8</v>
      </c>
      <c r="D813" s="3">
        <v>0</v>
      </c>
      <c r="E813" s="3">
        <v>4.38</v>
      </c>
      <c r="F813" s="1" t="s">
        <v>15</v>
      </c>
      <c r="G813" s="1" t="str">
        <f>TEXT(RideData[[#This Row],[timestamp]],"hh:mm")</f>
        <v>12:20</v>
      </c>
    </row>
    <row r="814" spans="1:7">
      <c r="A814" s="1" t="s">
        <v>838</v>
      </c>
      <c r="B814" s="2">
        <v>46169.51388888889</v>
      </c>
      <c r="C814" s="1" t="s">
        <v>21</v>
      </c>
      <c r="D814" s="3">
        <v>1110.13</v>
      </c>
      <c r="E814" s="3">
        <v>5</v>
      </c>
      <c r="F814" s="1" t="s">
        <v>9</v>
      </c>
      <c r="G814" s="1" t="str">
        <f>TEXT(RideData[[#This Row],[timestamp]],"hh:mm")</f>
        <v>12:20</v>
      </c>
    </row>
    <row r="815" spans="1:7">
      <c r="A815" s="1" t="s">
        <v>839</v>
      </c>
      <c r="B815" s="2">
        <v>46169.51388888889</v>
      </c>
      <c r="C815" s="1" t="s">
        <v>19</v>
      </c>
      <c r="D815" s="3">
        <v>938.62</v>
      </c>
      <c r="E815" s="3">
        <v>3.45</v>
      </c>
      <c r="F815" s="1" t="s">
        <v>9</v>
      </c>
      <c r="G815" s="1" t="str">
        <f>TEXT(RideData[[#This Row],[timestamp]],"hh:mm")</f>
        <v>12:20</v>
      </c>
    </row>
    <row r="816" spans="1:7">
      <c r="A816" s="1" t="s">
        <v>840</v>
      </c>
      <c r="B816" s="2">
        <v>46169.51388888889</v>
      </c>
      <c r="C816" s="1" t="s">
        <v>12</v>
      </c>
      <c r="D816" s="3">
        <v>2014.33</v>
      </c>
      <c r="E816" s="3">
        <v>4.66</v>
      </c>
      <c r="F816" s="1" t="s">
        <v>9</v>
      </c>
      <c r="G816" s="1" t="str">
        <f>TEXT(RideData[[#This Row],[timestamp]],"hh:mm")</f>
        <v>12:20</v>
      </c>
    </row>
    <row r="817" spans="1:7">
      <c r="A817" s="1" t="s">
        <v>841</v>
      </c>
      <c r="B817" s="2">
        <v>46169.51388888889</v>
      </c>
      <c r="C817" s="1" t="s">
        <v>12</v>
      </c>
      <c r="D817" s="3">
        <v>1524.57</v>
      </c>
      <c r="E817" s="3">
        <v>3.74</v>
      </c>
      <c r="F817" s="1" t="s">
        <v>9</v>
      </c>
      <c r="G817" s="1" t="str">
        <f>TEXT(RideData[[#This Row],[timestamp]],"hh:mm")</f>
        <v>12:20</v>
      </c>
    </row>
    <row r="818" spans="1:7">
      <c r="A818" s="1" t="s">
        <v>842</v>
      </c>
      <c r="B818" s="2">
        <v>46169.51388888889</v>
      </c>
      <c r="C818" s="1" t="s">
        <v>19</v>
      </c>
      <c r="D818" s="3">
        <v>1300.63</v>
      </c>
      <c r="E818" s="3">
        <v>4.44</v>
      </c>
      <c r="F818" s="1" t="s">
        <v>9</v>
      </c>
      <c r="G818" s="1" t="str">
        <f>TEXT(RideData[[#This Row],[timestamp]],"hh:mm")</f>
        <v>12:20</v>
      </c>
    </row>
    <row r="819" spans="1:7">
      <c r="A819" s="1" t="s">
        <v>843</v>
      </c>
      <c r="B819" s="2">
        <v>46169.51388888889</v>
      </c>
      <c r="C819" s="1" t="s">
        <v>8</v>
      </c>
      <c r="D819" s="3">
        <v>0</v>
      </c>
      <c r="E819" s="3">
        <v>3.69</v>
      </c>
      <c r="F819" s="1" t="s">
        <v>15</v>
      </c>
      <c r="G819" s="1" t="str">
        <f>TEXT(RideData[[#This Row],[timestamp]],"hh:mm")</f>
        <v>12:20</v>
      </c>
    </row>
    <row r="820" spans="1:7">
      <c r="A820" s="1" t="s">
        <v>844</v>
      </c>
      <c r="B820" s="2">
        <v>46169.51388888889</v>
      </c>
      <c r="C820" s="1" t="s">
        <v>21</v>
      </c>
      <c r="D820" s="3">
        <v>2364.25</v>
      </c>
      <c r="E820" s="3">
        <v>4.61</v>
      </c>
      <c r="F820" s="1" t="s">
        <v>9</v>
      </c>
      <c r="G820" s="1" t="str">
        <f>TEXT(RideData[[#This Row],[timestamp]],"hh:mm")</f>
        <v>12:20</v>
      </c>
    </row>
    <row r="821" spans="1:7">
      <c r="A821" s="1" t="s">
        <v>845</v>
      </c>
      <c r="B821" s="2">
        <v>46169.51388888889</v>
      </c>
      <c r="C821" s="1" t="s">
        <v>19</v>
      </c>
      <c r="D821" s="3">
        <v>641.1799999999999</v>
      </c>
      <c r="E821" s="3">
        <v>4.14</v>
      </c>
      <c r="F821" s="1" t="s">
        <v>9</v>
      </c>
      <c r="G821" s="1" t="str">
        <f>TEXT(RideData[[#This Row],[timestamp]],"hh:mm")</f>
        <v>12:20</v>
      </c>
    </row>
    <row r="822" spans="1:7">
      <c r="A822" s="1" t="s">
        <v>846</v>
      </c>
      <c r="B822" s="2">
        <v>46169.51388888889</v>
      </c>
      <c r="C822" s="1" t="s">
        <v>19</v>
      </c>
      <c r="D822" s="3">
        <v>1708.33</v>
      </c>
      <c r="E822" s="3">
        <v>3.91</v>
      </c>
      <c r="F822" s="1" t="s">
        <v>9</v>
      </c>
      <c r="G822" s="1" t="str">
        <f>TEXT(RideData[[#This Row],[timestamp]],"hh:mm")</f>
        <v>12:20</v>
      </c>
    </row>
    <row r="823" spans="1:7">
      <c r="A823" s="1" t="s">
        <v>847</v>
      </c>
      <c r="B823" s="2">
        <v>46169.51388888889</v>
      </c>
      <c r="C823" s="1" t="s">
        <v>19</v>
      </c>
      <c r="D823" s="3">
        <v>1194.63</v>
      </c>
      <c r="E823" s="3">
        <v>4.83</v>
      </c>
      <c r="F823" s="1" t="s">
        <v>9</v>
      </c>
      <c r="G823" s="1" t="str">
        <f>TEXT(RideData[[#This Row],[timestamp]],"hh:mm")</f>
        <v>12:20</v>
      </c>
    </row>
    <row r="824" spans="1:7">
      <c r="A824" s="1" t="s">
        <v>848</v>
      </c>
      <c r="B824" s="2">
        <v>46169.51388888889</v>
      </c>
      <c r="C824" s="1" t="s">
        <v>8</v>
      </c>
      <c r="D824" s="3">
        <v>1770.23</v>
      </c>
      <c r="E824" s="3">
        <v>3.47</v>
      </c>
      <c r="F824" s="1" t="s">
        <v>9</v>
      </c>
      <c r="G824" s="1" t="str">
        <f>TEXT(RideData[[#This Row],[timestamp]],"hh:mm")</f>
        <v>12:20</v>
      </c>
    </row>
    <row r="825" spans="1:7">
      <c r="A825" s="1" t="s">
        <v>849</v>
      </c>
      <c r="B825" s="2">
        <v>46169.51388888889</v>
      </c>
      <c r="C825" s="1" t="s">
        <v>19</v>
      </c>
      <c r="D825" s="3">
        <v>2578.68</v>
      </c>
      <c r="E825" s="3">
        <v>3.04</v>
      </c>
      <c r="F825" s="1" t="s">
        <v>9</v>
      </c>
      <c r="G825" s="1" t="str">
        <f>TEXT(RideData[[#This Row],[timestamp]],"hh:mm")</f>
        <v>12:20</v>
      </c>
    </row>
    <row r="826" spans="1:7">
      <c r="A826" s="1" t="s">
        <v>850</v>
      </c>
      <c r="B826" s="2">
        <v>46169.51388888889</v>
      </c>
      <c r="C826" s="1" t="s">
        <v>19</v>
      </c>
      <c r="D826" s="3">
        <v>0</v>
      </c>
      <c r="E826" s="3">
        <v>5</v>
      </c>
      <c r="F826" s="1" t="s">
        <v>15</v>
      </c>
      <c r="G826" s="1" t="str">
        <f>TEXT(RideData[[#This Row],[timestamp]],"hh:mm")</f>
        <v>12:20</v>
      </c>
    </row>
    <row r="827" spans="1:7">
      <c r="A827" s="1" t="s">
        <v>851</v>
      </c>
      <c r="B827" s="2">
        <v>46169.51388888889</v>
      </c>
      <c r="C827" s="1" t="s">
        <v>8</v>
      </c>
      <c r="D827" s="3">
        <v>1230.12</v>
      </c>
      <c r="E827" s="3">
        <v>3.68</v>
      </c>
      <c r="F827" s="1" t="s">
        <v>9</v>
      </c>
      <c r="G827" s="1" t="str">
        <f>TEXT(RideData[[#This Row],[timestamp]],"hh:mm")</f>
        <v>12:20</v>
      </c>
    </row>
    <row r="828" spans="1:7">
      <c r="A828" s="1" t="s">
        <v>852</v>
      </c>
      <c r="B828" s="2">
        <v>46169.51388888889</v>
      </c>
      <c r="C828" s="1" t="s">
        <v>19</v>
      </c>
      <c r="D828" s="3">
        <v>1047.94</v>
      </c>
      <c r="E828" s="3">
        <v>4.47</v>
      </c>
      <c r="F828" s="1" t="s">
        <v>9</v>
      </c>
      <c r="G828" s="1" t="str">
        <f>TEXT(RideData[[#This Row],[timestamp]],"hh:mm")</f>
        <v>12:20</v>
      </c>
    </row>
    <row r="829" spans="1:7">
      <c r="A829" s="1" t="s">
        <v>853</v>
      </c>
      <c r="B829" s="2">
        <v>46169.51388888889</v>
      </c>
      <c r="C829" s="1" t="s">
        <v>8</v>
      </c>
      <c r="D829" s="3">
        <v>0</v>
      </c>
      <c r="F829" s="1" t="s">
        <v>17</v>
      </c>
      <c r="G829" s="1" t="str">
        <f>TEXT(RideData[[#This Row],[timestamp]],"hh:mm")</f>
        <v>12:20</v>
      </c>
    </row>
    <row r="830" spans="1:7">
      <c r="A830" s="1" t="s">
        <v>854</v>
      </c>
      <c r="B830" s="2">
        <v>46169.51388888889</v>
      </c>
      <c r="C830" s="1" t="s">
        <v>19</v>
      </c>
      <c r="D830" s="3">
        <v>0</v>
      </c>
      <c r="E830" s="3">
        <v>3.69</v>
      </c>
      <c r="F830" s="1" t="s">
        <v>15</v>
      </c>
      <c r="G830" s="1" t="str">
        <f>TEXT(RideData[[#This Row],[timestamp]],"hh:mm")</f>
        <v>12:20</v>
      </c>
    </row>
    <row r="831" spans="1:7">
      <c r="A831" s="1" t="s">
        <v>855</v>
      </c>
      <c r="B831" s="2">
        <v>46169.51388888889</v>
      </c>
      <c r="C831" s="1" t="s">
        <v>19</v>
      </c>
      <c r="D831" s="3">
        <v>0</v>
      </c>
      <c r="E831" s="3">
        <v>3.73</v>
      </c>
      <c r="F831" s="1" t="s">
        <v>15</v>
      </c>
      <c r="G831" s="1" t="str">
        <f>TEXT(RideData[[#This Row],[timestamp]],"hh:mm")</f>
        <v>12:20</v>
      </c>
    </row>
    <row r="832" spans="1:7">
      <c r="A832" s="1" t="s">
        <v>856</v>
      </c>
      <c r="B832" s="2">
        <v>46169.51388888889</v>
      </c>
      <c r="C832" s="1" t="s">
        <v>8</v>
      </c>
      <c r="D832" s="3">
        <v>0</v>
      </c>
      <c r="E832" s="3">
        <v>4.06</v>
      </c>
      <c r="F832" s="1" t="s">
        <v>15</v>
      </c>
      <c r="G832" s="1" t="str">
        <f>TEXT(RideData[[#This Row],[timestamp]],"hh:mm")</f>
        <v>12:20</v>
      </c>
    </row>
    <row r="833" spans="1:7">
      <c r="A833" s="1" t="s">
        <v>857</v>
      </c>
      <c r="B833" s="2">
        <v>46169.51388888889</v>
      </c>
      <c r="C833" s="1" t="s">
        <v>12</v>
      </c>
      <c r="D833" s="3">
        <v>1295.47</v>
      </c>
      <c r="E833" s="3">
        <v>3.77</v>
      </c>
      <c r="F833" s="1" t="s">
        <v>9</v>
      </c>
      <c r="G833" s="1" t="str">
        <f>TEXT(RideData[[#This Row],[timestamp]],"hh:mm")</f>
        <v>12:20</v>
      </c>
    </row>
    <row r="834" spans="1:7">
      <c r="A834" s="1" t="s">
        <v>858</v>
      </c>
      <c r="B834" s="2">
        <v>46169.51388888889</v>
      </c>
      <c r="C834" s="1" t="s">
        <v>12</v>
      </c>
      <c r="D834" s="3">
        <v>869.6900000000001</v>
      </c>
      <c r="E834" s="3">
        <v>3.6</v>
      </c>
      <c r="F834" s="1" t="s">
        <v>9</v>
      </c>
      <c r="G834" s="1" t="str">
        <f>TEXT(RideData[[#This Row],[timestamp]],"hh:mm")</f>
        <v>12:20</v>
      </c>
    </row>
    <row r="835" spans="1:7">
      <c r="A835" s="1" t="s">
        <v>859</v>
      </c>
      <c r="B835" s="2">
        <v>46169.51388888889</v>
      </c>
      <c r="C835" s="1" t="s">
        <v>19</v>
      </c>
      <c r="D835" s="3">
        <v>497.73</v>
      </c>
      <c r="E835" s="3">
        <v>3.2</v>
      </c>
      <c r="F835" s="1" t="s">
        <v>9</v>
      </c>
      <c r="G835" s="1" t="str">
        <f>TEXT(RideData[[#This Row],[timestamp]],"hh:mm")</f>
        <v>12:20</v>
      </c>
    </row>
    <row r="836" spans="1:7">
      <c r="A836" s="1" t="s">
        <v>860</v>
      </c>
      <c r="B836" s="2">
        <v>46169.51388888889</v>
      </c>
      <c r="C836" s="1" t="s">
        <v>8</v>
      </c>
      <c r="D836" s="3">
        <v>0</v>
      </c>
      <c r="E836" s="3">
        <v>4.09</v>
      </c>
      <c r="F836" s="1" t="s">
        <v>15</v>
      </c>
      <c r="G836" s="1" t="str">
        <f>TEXT(RideData[[#This Row],[timestamp]],"hh:mm")</f>
        <v>12:20</v>
      </c>
    </row>
    <row r="837" spans="1:7">
      <c r="A837" s="1" t="s">
        <v>861</v>
      </c>
      <c r="B837" s="2">
        <v>46169.51388888889</v>
      </c>
      <c r="C837" s="1" t="s">
        <v>21</v>
      </c>
      <c r="D837" s="3">
        <v>0</v>
      </c>
      <c r="E837" s="3">
        <v>3.93</v>
      </c>
      <c r="F837" s="1" t="s">
        <v>15</v>
      </c>
      <c r="G837" s="1" t="str">
        <f>TEXT(RideData[[#This Row],[timestamp]],"hh:mm")</f>
        <v>12:20</v>
      </c>
    </row>
    <row r="838" spans="1:7">
      <c r="A838" s="1" t="s">
        <v>862</v>
      </c>
      <c r="B838" s="2">
        <v>46169.51388888889</v>
      </c>
      <c r="C838" s="1" t="s">
        <v>19</v>
      </c>
      <c r="D838" s="3">
        <v>776.36</v>
      </c>
      <c r="E838" s="3">
        <v>3.32</v>
      </c>
      <c r="F838" s="1" t="s">
        <v>9</v>
      </c>
      <c r="G838" s="1" t="str">
        <f>TEXT(RideData[[#This Row],[timestamp]],"hh:mm")</f>
        <v>12:20</v>
      </c>
    </row>
    <row r="839" spans="1:7">
      <c r="A839" s="1" t="s">
        <v>863</v>
      </c>
      <c r="B839" s="2">
        <v>46169.51388888889</v>
      </c>
      <c r="C839" s="1" t="s">
        <v>19</v>
      </c>
      <c r="D839" s="3">
        <v>0</v>
      </c>
      <c r="E839" s="3">
        <v>4.51</v>
      </c>
      <c r="F839" s="1" t="s">
        <v>17</v>
      </c>
      <c r="G839" s="1" t="str">
        <f>TEXT(RideData[[#This Row],[timestamp]],"hh:mm")</f>
        <v>12:20</v>
      </c>
    </row>
    <row r="840" spans="1:7">
      <c r="A840" s="1" t="s">
        <v>864</v>
      </c>
      <c r="B840" s="2">
        <v>46169.51388888889</v>
      </c>
      <c r="C840" s="1" t="s">
        <v>12</v>
      </c>
      <c r="D840" s="3">
        <v>1335.2</v>
      </c>
      <c r="E840" s="3">
        <v>3.42</v>
      </c>
      <c r="F840" s="1" t="s">
        <v>9</v>
      </c>
      <c r="G840" s="1" t="str">
        <f>TEXT(RideData[[#This Row],[timestamp]],"hh:mm")</f>
        <v>12:20</v>
      </c>
    </row>
    <row r="841" spans="1:7">
      <c r="A841" s="1" t="s">
        <v>865</v>
      </c>
      <c r="B841" s="2">
        <v>46169.51388888889</v>
      </c>
      <c r="C841" s="1" t="s">
        <v>21</v>
      </c>
      <c r="D841" s="3">
        <v>2066.47</v>
      </c>
      <c r="E841" s="3">
        <v>4.59</v>
      </c>
      <c r="F841" s="1" t="s">
        <v>9</v>
      </c>
      <c r="G841" s="1" t="str">
        <f>TEXT(RideData[[#This Row],[timestamp]],"hh:mm")</f>
        <v>12:20</v>
      </c>
    </row>
    <row r="842" spans="1:7">
      <c r="A842" s="1" t="s">
        <v>866</v>
      </c>
      <c r="B842" s="2">
        <v>46169.51388888889</v>
      </c>
      <c r="C842" s="1" t="s">
        <v>12</v>
      </c>
      <c r="D842" s="3">
        <v>1706.79</v>
      </c>
      <c r="E842" s="3">
        <v>4.42</v>
      </c>
      <c r="F842" s="1" t="s">
        <v>9</v>
      </c>
      <c r="G842" s="1" t="str">
        <f>TEXT(RideData[[#This Row],[timestamp]],"hh:mm")</f>
        <v>12:20</v>
      </c>
    </row>
    <row r="843" spans="1:7">
      <c r="A843" s="1" t="s">
        <v>867</v>
      </c>
      <c r="B843" s="2">
        <v>46169.51388888889</v>
      </c>
      <c r="C843" s="1" t="s">
        <v>12</v>
      </c>
      <c r="D843" s="3">
        <v>1607.36</v>
      </c>
      <c r="E843" s="3">
        <v>3.27</v>
      </c>
      <c r="F843" s="1" t="s">
        <v>9</v>
      </c>
      <c r="G843" s="1" t="str">
        <f>TEXT(RideData[[#This Row],[timestamp]],"hh:mm")</f>
        <v>12:20</v>
      </c>
    </row>
    <row r="844" spans="1:7">
      <c r="A844" s="1" t="s">
        <v>868</v>
      </c>
      <c r="B844" s="2">
        <v>46169.51388888889</v>
      </c>
      <c r="C844" s="1" t="s">
        <v>8</v>
      </c>
      <c r="D844" s="3">
        <v>1405.02</v>
      </c>
      <c r="E844" s="3">
        <v>2.6</v>
      </c>
      <c r="F844" s="1" t="s">
        <v>9</v>
      </c>
      <c r="G844" s="1" t="str">
        <f>TEXT(RideData[[#This Row],[timestamp]],"hh:mm")</f>
        <v>12:20</v>
      </c>
    </row>
    <row r="845" spans="1:7">
      <c r="A845" s="1" t="s">
        <v>869</v>
      </c>
      <c r="B845" s="2">
        <v>46169.51388888889</v>
      </c>
      <c r="C845" s="1" t="s">
        <v>8</v>
      </c>
      <c r="D845" s="3">
        <v>881.64</v>
      </c>
      <c r="E845" s="3">
        <v>3.78</v>
      </c>
      <c r="F845" s="1" t="s">
        <v>9</v>
      </c>
      <c r="G845" s="1" t="str">
        <f>TEXT(RideData[[#This Row],[timestamp]],"hh:mm")</f>
        <v>12:20</v>
      </c>
    </row>
    <row r="846" spans="1:7">
      <c r="A846" s="1" t="s">
        <v>870</v>
      </c>
      <c r="B846" s="2">
        <v>46169.51388888889</v>
      </c>
      <c r="C846" s="1" t="s">
        <v>8</v>
      </c>
      <c r="D846" s="3">
        <v>1053.56</v>
      </c>
      <c r="E846" s="3">
        <v>4.48</v>
      </c>
      <c r="F846" s="1" t="s">
        <v>9</v>
      </c>
      <c r="G846" s="1" t="str">
        <f>TEXT(RideData[[#This Row],[timestamp]],"hh:mm")</f>
        <v>12:20</v>
      </c>
    </row>
    <row r="847" spans="1:7">
      <c r="A847" s="1" t="s">
        <v>871</v>
      </c>
      <c r="B847" s="2">
        <v>46169.51388888889</v>
      </c>
      <c r="C847" s="1" t="s">
        <v>12</v>
      </c>
      <c r="D847" s="3">
        <v>0</v>
      </c>
      <c r="F847" s="1" t="s">
        <v>15</v>
      </c>
      <c r="G847" s="1" t="str">
        <f>TEXT(RideData[[#This Row],[timestamp]],"hh:mm")</f>
        <v>12:20</v>
      </c>
    </row>
    <row r="848" spans="1:7">
      <c r="A848" s="1" t="s">
        <v>872</v>
      </c>
      <c r="B848" s="2">
        <v>46169.51388888889</v>
      </c>
      <c r="C848" s="1" t="s">
        <v>21</v>
      </c>
      <c r="D848" s="3">
        <v>1787.31</v>
      </c>
      <c r="E848" s="3">
        <v>4.51</v>
      </c>
      <c r="F848" s="1" t="s">
        <v>9</v>
      </c>
      <c r="G848" s="1" t="str">
        <f>TEXT(RideData[[#This Row],[timestamp]],"hh:mm")</f>
        <v>12:20</v>
      </c>
    </row>
    <row r="849" spans="1:7">
      <c r="A849" s="1" t="s">
        <v>873</v>
      </c>
      <c r="B849" s="2">
        <v>46169.51388888889</v>
      </c>
      <c r="C849" s="1" t="s">
        <v>12</v>
      </c>
      <c r="D849" s="3">
        <v>968</v>
      </c>
      <c r="E849" s="3">
        <v>4.1</v>
      </c>
      <c r="F849" s="1" t="s">
        <v>9</v>
      </c>
      <c r="G849" s="1" t="str">
        <f>TEXT(RideData[[#This Row],[timestamp]],"hh:mm")</f>
        <v>12:20</v>
      </c>
    </row>
    <row r="850" spans="1:7">
      <c r="A850" s="1" t="s">
        <v>874</v>
      </c>
      <c r="B850" s="2">
        <v>46169.51388888889</v>
      </c>
      <c r="C850" s="1" t="s">
        <v>12</v>
      </c>
      <c r="D850" s="3">
        <v>2259.4</v>
      </c>
      <c r="E850" s="3">
        <v>4.17</v>
      </c>
      <c r="F850" s="1" t="s">
        <v>9</v>
      </c>
      <c r="G850" s="1" t="str">
        <f>TEXT(RideData[[#This Row],[timestamp]],"hh:mm")</f>
        <v>12:20</v>
      </c>
    </row>
    <row r="851" spans="1:7">
      <c r="A851" s="1" t="s">
        <v>875</v>
      </c>
      <c r="B851" s="2">
        <v>46169.51388888889</v>
      </c>
      <c r="C851" s="1" t="s">
        <v>21</v>
      </c>
      <c r="D851" s="3">
        <v>0</v>
      </c>
      <c r="E851" s="3">
        <v>5</v>
      </c>
      <c r="F851" s="1" t="s">
        <v>15</v>
      </c>
      <c r="G851" s="1" t="str">
        <f>TEXT(RideData[[#This Row],[timestamp]],"hh:mm")</f>
        <v>12:20</v>
      </c>
    </row>
    <row r="852" spans="1:7">
      <c r="A852" s="1" t="s">
        <v>876</v>
      </c>
      <c r="B852" s="2">
        <v>46169.51388888889</v>
      </c>
      <c r="C852" s="1" t="s">
        <v>19</v>
      </c>
      <c r="D852" s="3">
        <v>0</v>
      </c>
      <c r="E852" s="3">
        <v>3.82</v>
      </c>
      <c r="F852" s="1" t="s">
        <v>15</v>
      </c>
      <c r="G852" s="1" t="str">
        <f>TEXT(RideData[[#This Row],[timestamp]],"hh:mm")</f>
        <v>12:20</v>
      </c>
    </row>
    <row r="853" spans="1:7">
      <c r="A853" s="1" t="s">
        <v>877</v>
      </c>
      <c r="B853" s="2">
        <v>46169.51388888889</v>
      </c>
      <c r="C853" s="1" t="s">
        <v>8</v>
      </c>
      <c r="D853" s="3">
        <v>0</v>
      </c>
      <c r="E853" s="3">
        <v>3.7</v>
      </c>
      <c r="F853" s="1" t="s">
        <v>15</v>
      </c>
      <c r="G853" s="1" t="str">
        <f>TEXT(RideData[[#This Row],[timestamp]],"hh:mm")</f>
        <v>12:20</v>
      </c>
    </row>
    <row r="854" spans="1:7">
      <c r="A854" s="1" t="s">
        <v>878</v>
      </c>
      <c r="B854" s="2">
        <v>46169.51388888889</v>
      </c>
      <c r="C854" s="1" t="s">
        <v>21</v>
      </c>
      <c r="D854" s="3">
        <v>2182.59</v>
      </c>
      <c r="E854" s="3">
        <v>3.97</v>
      </c>
      <c r="F854" s="1" t="s">
        <v>9</v>
      </c>
      <c r="G854" s="1" t="str">
        <f>TEXT(RideData[[#This Row],[timestamp]],"hh:mm")</f>
        <v>12:20</v>
      </c>
    </row>
    <row r="855" spans="1:7">
      <c r="A855" s="1" t="s">
        <v>879</v>
      </c>
      <c r="B855" s="2">
        <v>46169.51388888889</v>
      </c>
      <c r="C855" s="1" t="s">
        <v>19</v>
      </c>
      <c r="D855" s="3">
        <v>0</v>
      </c>
      <c r="E855" s="3">
        <v>2.95</v>
      </c>
      <c r="F855" s="1" t="s">
        <v>15</v>
      </c>
      <c r="G855" s="1" t="str">
        <f>TEXT(RideData[[#This Row],[timestamp]],"hh:mm")</f>
        <v>12:20</v>
      </c>
    </row>
    <row r="856" spans="1:7">
      <c r="A856" s="1" t="s">
        <v>880</v>
      </c>
      <c r="B856" s="2">
        <v>46169.51388888889</v>
      </c>
      <c r="C856" s="1" t="s">
        <v>21</v>
      </c>
      <c r="D856" s="3">
        <v>1251.45</v>
      </c>
      <c r="E856" s="3">
        <v>4.12</v>
      </c>
      <c r="F856" s="1" t="s">
        <v>9</v>
      </c>
      <c r="G856" s="1" t="str">
        <f>TEXT(RideData[[#This Row],[timestamp]],"hh:mm")</f>
        <v>12:20</v>
      </c>
    </row>
    <row r="857" spans="1:7">
      <c r="A857" s="1" t="s">
        <v>881</v>
      </c>
      <c r="B857" s="2">
        <v>46169.51388888889</v>
      </c>
      <c r="C857" s="1" t="s">
        <v>21</v>
      </c>
      <c r="D857" s="3">
        <v>845.09</v>
      </c>
      <c r="E857" s="3">
        <v>3.72</v>
      </c>
      <c r="F857" s="1" t="s">
        <v>9</v>
      </c>
      <c r="G857" s="1" t="str">
        <f>TEXT(RideData[[#This Row],[timestamp]],"hh:mm")</f>
        <v>12:20</v>
      </c>
    </row>
    <row r="858" spans="1:7">
      <c r="A858" s="1" t="s">
        <v>882</v>
      </c>
      <c r="B858" s="2">
        <v>46169.51388888889</v>
      </c>
      <c r="C858" s="1" t="s">
        <v>8</v>
      </c>
      <c r="D858" s="3">
        <v>1286.8</v>
      </c>
      <c r="E858" s="3">
        <v>3.62</v>
      </c>
      <c r="F858" s="1" t="s">
        <v>9</v>
      </c>
      <c r="G858" s="1" t="str">
        <f>TEXT(RideData[[#This Row],[timestamp]],"hh:mm")</f>
        <v>12:20</v>
      </c>
    </row>
    <row r="859" spans="1:7">
      <c r="A859" s="1" t="s">
        <v>883</v>
      </c>
      <c r="B859" s="2">
        <v>46169.51388888889</v>
      </c>
      <c r="C859" s="1" t="s">
        <v>12</v>
      </c>
      <c r="D859" s="3">
        <v>1233.22</v>
      </c>
      <c r="E859" s="3">
        <v>2.94</v>
      </c>
      <c r="F859" s="1" t="s">
        <v>9</v>
      </c>
      <c r="G859" s="1" t="str">
        <f>TEXT(RideData[[#This Row],[timestamp]],"hh:mm")</f>
        <v>12:20</v>
      </c>
    </row>
    <row r="860" spans="1:7">
      <c r="A860" s="1" t="s">
        <v>884</v>
      </c>
      <c r="B860" s="2">
        <v>46169.51388888889</v>
      </c>
      <c r="C860" s="1" t="s">
        <v>21</v>
      </c>
      <c r="D860" s="3">
        <v>0</v>
      </c>
      <c r="E860" s="3">
        <v>3.48</v>
      </c>
      <c r="F860" s="1" t="s">
        <v>17</v>
      </c>
      <c r="G860" s="1" t="str">
        <f>TEXT(RideData[[#This Row],[timestamp]],"hh:mm")</f>
        <v>12:20</v>
      </c>
    </row>
    <row r="861" spans="1:7">
      <c r="A861" s="1" t="s">
        <v>885</v>
      </c>
      <c r="B861" s="2">
        <v>46169.51736111111</v>
      </c>
      <c r="C861" s="1" t="s">
        <v>21</v>
      </c>
      <c r="D861" s="3">
        <v>2525.15</v>
      </c>
      <c r="E861" s="3">
        <v>3.94</v>
      </c>
      <c r="F861" s="1" t="s">
        <v>9</v>
      </c>
      <c r="G861" s="1" t="str">
        <f>TEXT(RideData[[#This Row],[timestamp]],"hh:mm")</f>
        <v>12:25</v>
      </c>
    </row>
    <row r="862" spans="1:7">
      <c r="A862" s="1" t="s">
        <v>887</v>
      </c>
      <c r="B862" s="2">
        <v>46169.51736111111</v>
      </c>
      <c r="C862" s="1" t="s">
        <v>12</v>
      </c>
      <c r="D862" s="3">
        <v>0</v>
      </c>
      <c r="E862" s="3">
        <v>3.98</v>
      </c>
      <c r="F862" s="1" t="s">
        <v>15</v>
      </c>
      <c r="G862" s="1" t="str">
        <f>TEXT(RideData[[#This Row],[timestamp]],"hh:mm")</f>
        <v>12:25</v>
      </c>
    </row>
    <row r="863" spans="1:7">
      <c r="A863" s="1" t="s">
        <v>888</v>
      </c>
      <c r="B863" s="2">
        <v>46169.51736111111</v>
      </c>
      <c r="C863" s="1" t="s">
        <v>12</v>
      </c>
      <c r="D863" s="3">
        <v>1346.26</v>
      </c>
      <c r="E863" s="3">
        <v>4.83</v>
      </c>
      <c r="F863" s="1" t="s">
        <v>9</v>
      </c>
      <c r="G863" s="1" t="str">
        <f>TEXT(RideData[[#This Row],[timestamp]],"hh:mm")</f>
        <v>12:25</v>
      </c>
    </row>
    <row r="864" spans="1:7">
      <c r="A864" s="1" t="s">
        <v>889</v>
      </c>
      <c r="B864" s="2">
        <v>46169.51736111111</v>
      </c>
      <c r="C864" s="1" t="s">
        <v>21</v>
      </c>
      <c r="D864" s="3">
        <v>0</v>
      </c>
      <c r="E864" s="3">
        <v>3.74</v>
      </c>
      <c r="F864" s="1" t="s">
        <v>15</v>
      </c>
      <c r="G864" s="1" t="str">
        <f>TEXT(RideData[[#This Row],[timestamp]],"hh:mm")</f>
        <v>12:25</v>
      </c>
    </row>
    <row r="865" spans="1:7">
      <c r="A865" s="1" t="s">
        <v>890</v>
      </c>
      <c r="B865" s="2">
        <v>46169.51736111111</v>
      </c>
      <c r="C865" s="1" t="s">
        <v>8</v>
      </c>
      <c r="D865" s="3">
        <v>1039.08</v>
      </c>
      <c r="E865" s="3">
        <v>3.51</v>
      </c>
      <c r="F865" s="1" t="s">
        <v>9</v>
      </c>
      <c r="G865" s="1" t="str">
        <f>TEXT(RideData[[#This Row],[timestamp]],"hh:mm")</f>
        <v>12:25</v>
      </c>
    </row>
    <row r="866" spans="1:7">
      <c r="A866" s="1" t="s">
        <v>891</v>
      </c>
      <c r="B866" s="2">
        <v>46169.51736111111</v>
      </c>
      <c r="C866" s="1" t="s">
        <v>21</v>
      </c>
      <c r="D866" s="3">
        <v>2714.54</v>
      </c>
      <c r="E866" s="3">
        <v>4.35</v>
      </c>
      <c r="F866" s="1" t="s">
        <v>9</v>
      </c>
      <c r="G866" s="1" t="str">
        <f>TEXT(RideData[[#This Row],[timestamp]],"hh:mm")</f>
        <v>12:25</v>
      </c>
    </row>
    <row r="867" spans="1:7">
      <c r="A867" s="1" t="s">
        <v>892</v>
      </c>
      <c r="B867" s="2">
        <v>46169.51736111111</v>
      </c>
      <c r="C867" s="1" t="s">
        <v>12</v>
      </c>
      <c r="D867" s="3">
        <v>0</v>
      </c>
      <c r="E867" s="3">
        <v>4.32</v>
      </c>
      <c r="F867" s="1" t="s">
        <v>15</v>
      </c>
      <c r="G867" s="1" t="str">
        <f>TEXT(RideData[[#This Row],[timestamp]],"hh:mm")</f>
        <v>12:25</v>
      </c>
    </row>
    <row r="868" spans="1:7">
      <c r="A868" s="1" t="s">
        <v>893</v>
      </c>
      <c r="B868" s="2">
        <v>46169.51736111111</v>
      </c>
      <c r="C868" s="1" t="s">
        <v>21</v>
      </c>
      <c r="D868" s="3">
        <v>0</v>
      </c>
      <c r="E868" s="3">
        <v>3.62</v>
      </c>
      <c r="F868" s="1" t="s">
        <v>15</v>
      </c>
      <c r="G868" s="1" t="str">
        <f>TEXT(RideData[[#This Row],[timestamp]],"hh:mm")</f>
        <v>12:25</v>
      </c>
    </row>
    <row r="869" spans="1:7">
      <c r="A869" s="1" t="s">
        <v>894</v>
      </c>
      <c r="B869" s="2">
        <v>46169.51736111111</v>
      </c>
      <c r="C869" s="1" t="s">
        <v>19</v>
      </c>
      <c r="D869" s="3">
        <v>1509.56</v>
      </c>
      <c r="E869" s="3">
        <v>3.27</v>
      </c>
      <c r="F869" s="1" t="s">
        <v>9</v>
      </c>
      <c r="G869" s="1" t="str">
        <f>TEXT(RideData[[#This Row],[timestamp]],"hh:mm")</f>
        <v>12:25</v>
      </c>
    </row>
    <row r="870" spans="1:7">
      <c r="A870" s="1" t="s">
        <v>895</v>
      </c>
      <c r="B870" s="2">
        <v>46169.51736111111</v>
      </c>
      <c r="C870" s="1" t="s">
        <v>8</v>
      </c>
      <c r="D870" s="3">
        <v>0</v>
      </c>
      <c r="E870" s="3">
        <v>2.86</v>
      </c>
      <c r="F870" s="1" t="s">
        <v>15</v>
      </c>
      <c r="G870" s="1" t="str">
        <f>TEXT(RideData[[#This Row],[timestamp]],"hh:mm")</f>
        <v>12:25</v>
      </c>
    </row>
    <row r="871" spans="1:7">
      <c r="A871" s="1" t="s">
        <v>896</v>
      </c>
      <c r="B871" s="2">
        <v>46169.51736111111</v>
      </c>
      <c r="C871" s="1" t="s">
        <v>19</v>
      </c>
      <c r="D871" s="3">
        <v>0</v>
      </c>
      <c r="F871" s="1" t="s">
        <v>15</v>
      </c>
      <c r="G871" s="1" t="str">
        <f>TEXT(RideData[[#This Row],[timestamp]],"hh:mm")</f>
        <v>12:25</v>
      </c>
    </row>
    <row r="872" spans="1:7">
      <c r="A872" s="1" t="s">
        <v>897</v>
      </c>
      <c r="B872" s="2">
        <v>46169.51736111111</v>
      </c>
      <c r="C872" s="1" t="s">
        <v>8</v>
      </c>
      <c r="D872" s="3">
        <v>1437.25</v>
      </c>
      <c r="E872" s="3">
        <v>4.17</v>
      </c>
      <c r="F872" s="1" t="s">
        <v>9</v>
      </c>
      <c r="G872" s="1" t="str">
        <f>TEXT(RideData[[#This Row],[timestamp]],"hh:mm")</f>
        <v>12:25</v>
      </c>
    </row>
    <row r="873" spans="1:7">
      <c r="A873" s="1" t="s">
        <v>898</v>
      </c>
      <c r="B873" s="2">
        <v>46169.51736111111</v>
      </c>
      <c r="C873" s="1" t="s">
        <v>21</v>
      </c>
      <c r="D873" s="3">
        <v>745.36</v>
      </c>
      <c r="E873" s="3">
        <v>4.21</v>
      </c>
      <c r="F873" s="1" t="s">
        <v>9</v>
      </c>
      <c r="G873" s="1" t="str">
        <f>TEXT(RideData[[#This Row],[timestamp]],"hh:mm")</f>
        <v>12:25</v>
      </c>
    </row>
    <row r="874" spans="1:7">
      <c r="A874" s="1" t="s">
        <v>899</v>
      </c>
      <c r="B874" s="2">
        <v>46169.51736111111</v>
      </c>
      <c r="C874" s="1" t="s">
        <v>8</v>
      </c>
      <c r="D874" s="3">
        <v>390.35</v>
      </c>
      <c r="E874" s="3">
        <v>3.51</v>
      </c>
      <c r="F874" s="1" t="s">
        <v>9</v>
      </c>
      <c r="G874" s="1" t="str">
        <f>TEXT(RideData[[#This Row],[timestamp]],"hh:mm")</f>
        <v>12:25</v>
      </c>
    </row>
    <row r="875" spans="1:7">
      <c r="A875" s="1" t="s">
        <v>900</v>
      </c>
      <c r="B875" s="2">
        <v>46169.51736111111</v>
      </c>
      <c r="C875" s="1" t="s">
        <v>19</v>
      </c>
      <c r="D875" s="3">
        <v>1669.4</v>
      </c>
      <c r="E875" s="3">
        <v>3.28</v>
      </c>
      <c r="F875" s="1" t="s">
        <v>9</v>
      </c>
      <c r="G875" s="1" t="str">
        <f>TEXT(RideData[[#This Row],[timestamp]],"hh:mm")</f>
        <v>12:25</v>
      </c>
    </row>
    <row r="876" spans="1:7">
      <c r="A876" s="1" t="s">
        <v>901</v>
      </c>
      <c r="B876" s="2">
        <v>46169.51736111111</v>
      </c>
      <c r="C876" s="1" t="s">
        <v>21</v>
      </c>
      <c r="D876" s="3">
        <v>873.12</v>
      </c>
      <c r="E876" s="3">
        <v>3.56</v>
      </c>
      <c r="F876" s="1" t="s">
        <v>9</v>
      </c>
      <c r="G876" s="1" t="str">
        <f>TEXT(RideData[[#This Row],[timestamp]],"hh:mm")</f>
        <v>12:25</v>
      </c>
    </row>
    <row r="877" spans="1:7">
      <c r="A877" s="1" t="s">
        <v>902</v>
      </c>
      <c r="B877" s="2">
        <v>46169.51736111111</v>
      </c>
      <c r="C877" s="1" t="s">
        <v>12</v>
      </c>
      <c r="D877" s="3">
        <v>0</v>
      </c>
      <c r="E877" s="3">
        <v>4.71</v>
      </c>
      <c r="F877" s="1" t="s">
        <v>15</v>
      </c>
      <c r="G877" s="1" t="str">
        <f>TEXT(RideData[[#This Row],[timestamp]],"hh:mm")</f>
        <v>12:25</v>
      </c>
    </row>
    <row r="878" spans="1:7">
      <c r="A878" s="1" t="s">
        <v>903</v>
      </c>
      <c r="B878" s="2">
        <v>46169.51736111111</v>
      </c>
      <c r="C878" s="1" t="s">
        <v>19</v>
      </c>
      <c r="D878" s="3">
        <v>0</v>
      </c>
      <c r="F878" s="1" t="s">
        <v>15</v>
      </c>
      <c r="G878" s="1" t="str">
        <f>TEXT(RideData[[#This Row],[timestamp]],"hh:mm")</f>
        <v>12:25</v>
      </c>
    </row>
    <row r="879" spans="1:7">
      <c r="A879" s="1" t="s">
        <v>904</v>
      </c>
      <c r="B879" s="2">
        <v>46169.51736111111</v>
      </c>
      <c r="C879" s="1" t="s">
        <v>19</v>
      </c>
      <c r="D879" s="3">
        <v>0</v>
      </c>
      <c r="E879" s="3">
        <v>3.62</v>
      </c>
      <c r="F879" s="1" t="s">
        <v>15</v>
      </c>
      <c r="G879" s="1" t="str">
        <f>TEXT(RideData[[#This Row],[timestamp]],"hh:mm")</f>
        <v>12:25</v>
      </c>
    </row>
    <row r="880" spans="1:7">
      <c r="A880" s="1" t="s">
        <v>905</v>
      </c>
      <c r="B880" s="2">
        <v>46169.51736111111</v>
      </c>
      <c r="C880" s="1" t="s">
        <v>21</v>
      </c>
      <c r="D880" s="3">
        <v>1513.15</v>
      </c>
      <c r="E880" s="3">
        <v>3.72</v>
      </c>
      <c r="F880" s="1" t="s">
        <v>9</v>
      </c>
      <c r="G880" s="1" t="str">
        <f>TEXT(RideData[[#This Row],[timestamp]],"hh:mm")</f>
        <v>12:25</v>
      </c>
    </row>
    <row r="881" spans="1:7">
      <c r="A881" s="1" t="s">
        <v>906</v>
      </c>
      <c r="B881" s="2">
        <v>46169.51736111111</v>
      </c>
      <c r="C881" s="1" t="s">
        <v>21</v>
      </c>
      <c r="D881" s="3">
        <v>2221</v>
      </c>
      <c r="E881" s="3">
        <v>3.88</v>
      </c>
      <c r="F881" s="1" t="s">
        <v>9</v>
      </c>
      <c r="G881" s="1" t="str">
        <f>TEXT(RideData[[#This Row],[timestamp]],"hh:mm")</f>
        <v>12:25</v>
      </c>
    </row>
    <row r="882" spans="1:7">
      <c r="A882" s="1" t="s">
        <v>907</v>
      </c>
      <c r="B882" s="2">
        <v>46169.51736111111</v>
      </c>
      <c r="C882" s="1" t="s">
        <v>21</v>
      </c>
      <c r="D882" s="3">
        <v>0</v>
      </c>
      <c r="E882" s="3">
        <v>4.23</v>
      </c>
      <c r="F882" s="1" t="s">
        <v>15</v>
      </c>
      <c r="G882" s="1" t="str">
        <f>TEXT(RideData[[#This Row],[timestamp]],"hh:mm")</f>
        <v>12:25</v>
      </c>
    </row>
    <row r="883" spans="1:7">
      <c r="A883" s="1" t="s">
        <v>908</v>
      </c>
      <c r="B883" s="2">
        <v>46169.51736111111</v>
      </c>
      <c r="C883" s="1" t="s">
        <v>12</v>
      </c>
      <c r="D883" s="3">
        <v>1251.8</v>
      </c>
      <c r="E883" s="3">
        <v>4.01</v>
      </c>
      <c r="F883" s="1" t="s">
        <v>9</v>
      </c>
      <c r="G883" s="1" t="str">
        <f>TEXT(RideData[[#This Row],[timestamp]],"hh:mm")</f>
        <v>12:25</v>
      </c>
    </row>
    <row r="884" spans="1:7">
      <c r="A884" s="1" t="s">
        <v>909</v>
      </c>
      <c r="B884" s="2">
        <v>46169.51736111111</v>
      </c>
      <c r="C884" s="1" t="s">
        <v>21</v>
      </c>
      <c r="D884" s="3">
        <v>1973.18</v>
      </c>
      <c r="E884" s="3">
        <v>4.41</v>
      </c>
      <c r="F884" s="1" t="s">
        <v>9</v>
      </c>
      <c r="G884" s="1" t="str">
        <f>TEXT(RideData[[#This Row],[timestamp]],"hh:mm")</f>
        <v>12:25</v>
      </c>
    </row>
    <row r="885" spans="1:7">
      <c r="A885" s="1" t="s">
        <v>910</v>
      </c>
      <c r="B885" s="2">
        <v>46169.51736111111</v>
      </c>
      <c r="C885" s="1" t="s">
        <v>8</v>
      </c>
      <c r="D885" s="3">
        <v>0</v>
      </c>
      <c r="E885" s="3">
        <v>3.94</v>
      </c>
      <c r="F885" s="1" t="s">
        <v>15</v>
      </c>
      <c r="G885" s="1" t="str">
        <f>TEXT(RideData[[#This Row],[timestamp]],"hh:mm")</f>
        <v>12:25</v>
      </c>
    </row>
    <row r="886" spans="1:7">
      <c r="A886" s="1" t="s">
        <v>911</v>
      </c>
      <c r="B886" s="2">
        <v>46169.51736111111</v>
      </c>
      <c r="C886" s="1" t="s">
        <v>8</v>
      </c>
      <c r="D886" s="3">
        <v>911.99</v>
      </c>
      <c r="E886" s="3">
        <v>3.51</v>
      </c>
      <c r="F886" s="1" t="s">
        <v>9</v>
      </c>
      <c r="G886" s="1" t="str">
        <f>TEXT(RideData[[#This Row],[timestamp]],"hh:mm")</f>
        <v>12:25</v>
      </c>
    </row>
    <row r="887" spans="1:7">
      <c r="A887" s="1" t="s">
        <v>912</v>
      </c>
      <c r="B887" s="2">
        <v>46169.51736111111</v>
      </c>
      <c r="C887" s="1" t="s">
        <v>19</v>
      </c>
      <c r="D887" s="3">
        <v>0</v>
      </c>
      <c r="E887" s="3">
        <v>3.41</v>
      </c>
      <c r="F887" s="1" t="s">
        <v>15</v>
      </c>
      <c r="G887" s="1" t="str">
        <f>TEXT(RideData[[#This Row],[timestamp]],"hh:mm")</f>
        <v>12:25</v>
      </c>
    </row>
    <row r="888" spans="1:7">
      <c r="A888" s="1" t="s">
        <v>913</v>
      </c>
      <c r="B888" s="2">
        <v>46169.51736111111</v>
      </c>
      <c r="C888" s="1" t="s">
        <v>8</v>
      </c>
      <c r="D888" s="3">
        <v>1603.05</v>
      </c>
      <c r="E888" s="3">
        <v>4.57</v>
      </c>
      <c r="F888" s="1" t="s">
        <v>9</v>
      </c>
      <c r="G888" s="1" t="str">
        <f>TEXT(RideData[[#This Row],[timestamp]],"hh:mm")</f>
        <v>12:25</v>
      </c>
    </row>
    <row r="889" spans="1:7">
      <c r="A889" s="1" t="s">
        <v>914</v>
      </c>
      <c r="B889" s="2">
        <v>46169.51736111111</v>
      </c>
      <c r="C889" s="1" t="s">
        <v>8</v>
      </c>
      <c r="D889" s="3">
        <v>1292.2</v>
      </c>
      <c r="E889" s="3">
        <v>4.32</v>
      </c>
      <c r="F889" s="1" t="s">
        <v>9</v>
      </c>
      <c r="G889" s="1" t="str">
        <f>TEXT(RideData[[#This Row],[timestamp]],"hh:mm")</f>
        <v>12:25</v>
      </c>
    </row>
    <row r="890" spans="1:7">
      <c r="A890" s="1" t="s">
        <v>915</v>
      </c>
      <c r="B890" s="2">
        <v>46169.51736111111</v>
      </c>
      <c r="C890" s="1" t="s">
        <v>19</v>
      </c>
      <c r="D890" s="3">
        <v>903.62</v>
      </c>
      <c r="E890" s="3">
        <v>3.52</v>
      </c>
      <c r="F890" s="1" t="s">
        <v>9</v>
      </c>
      <c r="G890" s="1" t="str">
        <f>TEXT(RideData[[#This Row],[timestamp]],"hh:mm")</f>
        <v>12:25</v>
      </c>
    </row>
    <row r="891" spans="1:7">
      <c r="A891" s="1" t="s">
        <v>916</v>
      </c>
      <c r="B891" s="2">
        <v>46169.51736111111</v>
      </c>
      <c r="C891" s="1" t="s">
        <v>21</v>
      </c>
      <c r="D891" s="3">
        <v>1116.31</v>
      </c>
      <c r="F891" s="1" t="s">
        <v>9</v>
      </c>
      <c r="G891" s="1" t="str">
        <f>TEXT(RideData[[#This Row],[timestamp]],"hh:mm")</f>
        <v>12:25</v>
      </c>
    </row>
    <row r="892" spans="1:7">
      <c r="A892" s="1" t="s">
        <v>917</v>
      </c>
      <c r="B892" s="2">
        <v>46169.51736111111</v>
      </c>
      <c r="C892" s="1" t="s">
        <v>12</v>
      </c>
      <c r="D892" s="3">
        <v>1487.04</v>
      </c>
      <c r="E892" s="3">
        <v>3.89</v>
      </c>
      <c r="F892" s="1" t="s">
        <v>9</v>
      </c>
      <c r="G892" s="1" t="str">
        <f>TEXT(RideData[[#This Row],[timestamp]],"hh:mm")</f>
        <v>12:25</v>
      </c>
    </row>
    <row r="893" spans="1:7">
      <c r="A893" s="1" t="s">
        <v>918</v>
      </c>
      <c r="B893" s="2">
        <v>46169.51736111111</v>
      </c>
      <c r="C893" s="1" t="s">
        <v>12</v>
      </c>
      <c r="D893" s="3">
        <v>2327.55</v>
      </c>
      <c r="E893" s="3">
        <v>4.3</v>
      </c>
      <c r="F893" s="1" t="s">
        <v>9</v>
      </c>
      <c r="G893" s="1" t="str">
        <f>TEXT(RideData[[#This Row],[timestamp]],"hh:mm")</f>
        <v>12:25</v>
      </c>
    </row>
    <row r="894" spans="1:7">
      <c r="A894" s="1" t="s">
        <v>919</v>
      </c>
      <c r="B894" s="2">
        <v>46169.51736111111</v>
      </c>
      <c r="C894" s="1" t="s">
        <v>21</v>
      </c>
      <c r="D894" s="3">
        <v>1740.17</v>
      </c>
      <c r="E894" s="3">
        <v>4.52</v>
      </c>
      <c r="F894" s="1" t="s">
        <v>9</v>
      </c>
      <c r="G894" s="1" t="str">
        <f>TEXT(RideData[[#This Row],[timestamp]],"hh:mm")</f>
        <v>12:25</v>
      </c>
    </row>
    <row r="895" spans="1:7">
      <c r="A895" s="1" t="s">
        <v>920</v>
      </c>
      <c r="B895" s="2">
        <v>46169.51736111111</v>
      </c>
      <c r="C895" s="1" t="s">
        <v>8</v>
      </c>
      <c r="D895" s="3">
        <v>1159.12</v>
      </c>
      <c r="E895" s="3">
        <v>5</v>
      </c>
      <c r="F895" s="1" t="s">
        <v>9</v>
      </c>
      <c r="G895" s="1" t="str">
        <f>TEXT(RideData[[#This Row],[timestamp]],"hh:mm")</f>
        <v>12:25</v>
      </c>
    </row>
    <row r="896" spans="1:7">
      <c r="A896" s="1" t="s">
        <v>921</v>
      </c>
      <c r="B896" s="2">
        <v>46169.51736111111</v>
      </c>
      <c r="C896" s="1" t="s">
        <v>12</v>
      </c>
      <c r="D896" s="3">
        <v>1318</v>
      </c>
      <c r="F896" s="1" t="s">
        <v>9</v>
      </c>
      <c r="G896" s="1" t="str">
        <f>TEXT(RideData[[#This Row],[timestamp]],"hh:mm")</f>
        <v>12:25</v>
      </c>
    </row>
    <row r="897" spans="1:7">
      <c r="A897" s="1" t="s">
        <v>922</v>
      </c>
      <c r="B897" s="2">
        <v>46169.51736111111</v>
      </c>
      <c r="C897" s="1" t="s">
        <v>19</v>
      </c>
      <c r="D897" s="3">
        <v>2169.39</v>
      </c>
      <c r="E897" s="3">
        <v>4.55</v>
      </c>
      <c r="F897" s="1" t="s">
        <v>9</v>
      </c>
      <c r="G897" s="1" t="str">
        <f>TEXT(RideData[[#This Row],[timestamp]],"hh:mm")</f>
        <v>12:25</v>
      </c>
    </row>
    <row r="898" spans="1:7">
      <c r="A898" s="1" t="s">
        <v>923</v>
      </c>
      <c r="B898" s="2">
        <v>46169.51736111111</v>
      </c>
      <c r="C898" s="1" t="s">
        <v>8</v>
      </c>
      <c r="D898" s="3">
        <v>2241</v>
      </c>
      <c r="E898" s="3">
        <v>4.82</v>
      </c>
      <c r="F898" s="1" t="s">
        <v>9</v>
      </c>
      <c r="G898" s="1" t="str">
        <f>TEXT(RideData[[#This Row],[timestamp]],"hh:mm")</f>
        <v>12:25</v>
      </c>
    </row>
    <row r="899" spans="1:7">
      <c r="A899" s="1" t="s">
        <v>924</v>
      </c>
      <c r="B899" s="2">
        <v>46169.51736111111</v>
      </c>
      <c r="C899" s="1" t="s">
        <v>21</v>
      </c>
      <c r="D899" s="3">
        <v>0</v>
      </c>
      <c r="E899" s="3">
        <v>2.74</v>
      </c>
      <c r="F899" s="1" t="s">
        <v>15</v>
      </c>
      <c r="G899" s="1" t="str">
        <f>TEXT(RideData[[#This Row],[timestamp]],"hh:mm")</f>
        <v>12:25</v>
      </c>
    </row>
    <row r="900" spans="1:7">
      <c r="A900" s="1" t="s">
        <v>925</v>
      </c>
      <c r="B900" s="2">
        <v>46169.51736111111</v>
      </c>
      <c r="C900" s="1" t="s">
        <v>21</v>
      </c>
      <c r="D900" s="3">
        <v>0</v>
      </c>
      <c r="E900" s="3">
        <v>4.37</v>
      </c>
      <c r="F900" s="1" t="s">
        <v>15</v>
      </c>
      <c r="G900" s="1" t="str">
        <f>TEXT(RideData[[#This Row],[timestamp]],"hh:mm")</f>
        <v>12:25</v>
      </c>
    </row>
    <row r="901" spans="1:7">
      <c r="A901" s="1" t="s">
        <v>926</v>
      </c>
      <c r="B901" s="2">
        <v>46169.51736111111</v>
      </c>
      <c r="C901" s="1" t="s">
        <v>12</v>
      </c>
      <c r="D901" s="3">
        <v>527.9400000000001</v>
      </c>
      <c r="E901" s="3">
        <v>4.35</v>
      </c>
      <c r="F901" s="1" t="s">
        <v>9</v>
      </c>
      <c r="G901" s="1" t="str">
        <f>TEXT(RideData[[#This Row],[timestamp]],"hh:mm")</f>
        <v>12:25</v>
      </c>
    </row>
    <row r="902" spans="1:7">
      <c r="A902" s="1" t="s">
        <v>927</v>
      </c>
      <c r="B902" s="2">
        <v>46169.51736111111</v>
      </c>
      <c r="C902" s="1" t="s">
        <v>21</v>
      </c>
      <c r="D902" s="3">
        <v>0</v>
      </c>
      <c r="E902" s="3">
        <v>3.78</v>
      </c>
      <c r="F902" s="1" t="s">
        <v>17</v>
      </c>
      <c r="G902" s="1" t="str">
        <f>TEXT(RideData[[#This Row],[timestamp]],"hh:mm")</f>
        <v>12:25</v>
      </c>
    </row>
    <row r="903" spans="1:7">
      <c r="A903" s="1" t="s">
        <v>928</v>
      </c>
      <c r="B903" s="2">
        <v>46169.51736111111</v>
      </c>
      <c r="C903" s="1" t="s">
        <v>19</v>
      </c>
      <c r="D903" s="3">
        <v>2777.22</v>
      </c>
      <c r="E903" s="3">
        <v>4.84</v>
      </c>
      <c r="F903" s="1" t="s">
        <v>9</v>
      </c>
      <c r="G903" s="1" t="str">
        <f>TEXT(RideData[[#This Row],[timestamp]],"hh:mm")</f>
        <v>12:25</v>
      </c>
    </row>
    <row r="904" spans="1:7">
      <c r="A904" s="1" t="s">
        <v>929</v>
      </c>
      <c r="B904" s="2">
        <v>46169.51736111111</v>
      </c>
      <c r="C904" s="1" t="s">
        <v>8</v>
      </c>
      <c r="D904" s="3">
        <v>1128.52</v>
      </c>
      <c r="E904" s="3">
        <v>3.57</v>
      </c>
      <c r="F904" s="1" t="s">
        <v>9</v>
      </c>
      <c r="G904" s="1" t="str">
        <f>TEXT(RideData[[#This Row],[timestamp]],"hh:mm")</f>
        <v>12:25</v>
      </c>
    </row>
    <row r="905" spans="1:7">
      <c r="A905" s="1" t="s">
        <v>930</v>
      </c>
      <c r="B905" s="2">
        <v>46169.51736111111</v>
      </c>
      <c r="C905" s="1" t="s">
        <v>12</v>
      </c>
      <c r="D905" s="3">
        <v>650.66</v>
      </c>
      <c r="E905" s="3">
        <v>4.31</v>
      </c>
      <c r="F905" s="1" t="s">
        <v>9</v>
      </c>
      <c r="G905" s="1" t="str">
        <f>TEXT(RideData[[#This Row],[timestamp]],"hh:mm")</f>
        <v>12:25</v>
      </c>
    </row>
    <row r="906" spans="1:7">
      <c r="A906" s="1" t="s">
        <v>931</v>
      </c>
      <c r="B906" s="2">
        <v>46169.51736111111</v>
      </c>
      <c r="C906" s="1" t="s">
        <v>19</v>
      </c>
      <c r="D906" s="3">
        <v>2509.8</v>
      </c>
      <c r="E906" s="3">
        <v>3.86</v>
      </c>
      <c r="F906" s="1" t="s">
        <v>9</v>
      </c>
      <c r="G906" s="1" t="str">
        <f>TEXT(RideData[[#This Row],[timestamp]],"hh:mm")</f>
        <v>12:25</v>
      </c>
    </row>
    <row r="907" spans="1:7">
      <c r="A907" s="1" t="s">
        <v>932</v>
      </c>
      <c r="B907" s="2">
        <v>46169.51736111111</v>
      </c>
      <c r="C907" s="1" t="s">
        <v>8</v>
      </c>
      <c r="D907" s="3">
        <v>542.42</v>
      </c>
      <c r="E907" s="3">
        <v>3.9</v>
      </c>
      <c r="F907" s="1" t="s">
        <v>9</v>
      </c>
      <c r="G907" s="1" t="str">
        <f>TEXT(RideData[[#This Row],[timestamp]],"hh:mm")</f>
        <v>12:25</v>
      </c>
    </row>
    <row r="908" spans="1:7">
      <c r="A908" s="1" t="s">
        <v>933</v>
      </c>
      <c r="B908" s="2">
        <v>46169.51736111111</v>
      </c>
      <c r="C908" s="1" t="s">
        <v>12</v>
      </c>
      <c r="D908" s="3">
        <v>1181.29</v>
      </c>
      <c r="E908" s="3">
        <v>2.72</v>
      </c>
      <c r="F908" s="1" t="s">
        <v>9</v>
      </c>
      <c r="G908" s="1" t="str">
        <f>TEXT(RideData[[#This Row],[timestamp]],"hh:mm")</f>
        <v>12:25</v>
      </c>
    </row>
    <row r="909" spans="1:7">
      <c r="A909" s="1" t="s">
        <v>934</v>
      </c>
      <c r="B909" s="2">
        <v>46169.51736111111</v>
      </c>
      <c r="C909" s="1" t="s">
        <v>21</v>
      </c>
      <c r="D909" s="3">
        <v>1599.94</v>
      </c>
      <c r="E909" s="3">
        <v>4.18</v>
      </c>
      <c r="F909" s="1" t="s">
        <v>9</v>
      </c>
      <c r="G909" s="1" t="str">
        <f>TEXT(RideData[[#This Row],[timestamp]],"hh:mm")</f>
        <v>12:25</v>
      </c>
    </row>
    <row r="910" spans="1:7">
      <c r="A910" s="1" t="s">
        <v>935</v>
      </c>
      <c r="B910" s="2">
        <v>46169.51736111111</v>
      </c>
      <c r="C910" s="1" t="s">
        <v>19</v>
      </c>
      <c r="D910" s="3">
        <v>1167</v>
      </c>
      <c r="E910" s="3">
        <v>3.38</v>
      </c>
      <c r="F910" s="1" t="s">
        <v>9</v>
      </c>
      <c r="G910" s="1" t="str">
        <f>TEXT(RideData[[#This Row],[timestamp]],"hh:mm")</f>
        <v>12:25</v>
      </c>
    </row>
    <row r="911" spans="1:7">
      <c r="A911" s="1" t="s">
        <v>936</v>
      </c>
      <c r="B911" s="2">
        <v>46169.51736111111</v>
      </c>
      <c r="C911" s="1" t="s">
        <v>19</v>
      </c>
      <c r="D911" s="3">
        <v>0</v>
      </c>
      <c r="E911" s="3">
        <v>4.05</v>
      </c>
      <c r="F911" s="1" t="s">
        <v>15</v>
      </c>
      <c r="G911" s="1" t="str">
        <f>TEXT(RideData[[#This Row],[timestamp]],"hh:mm")</f>
        <v>12:25</v>
      </c>
    </row>
    <row r="912" spans="1:7">
      <c r="A912" s="1" t="s">
        <v>937</v>
      </c>
      <c r="B912" s="2">
        <v>46169.51736111111</v>
      </c>
      <c r="C912" s="1" t="s">
        <v>21</v>
      </c>
      <c r="D912" s="3">
        <v>0</v>
      </c>
      <c r="E912" s="3">
        <v>4.47</v>
      </c>
      <c r="F912" s="1" t="s">
        <v>15</v>
      </c>
      <c r="G912" s="1" t="str">
        <f>TEXT(RideData[[#This Row],[timestamp]],"hh:mm")</f>
        <v>12:25</v>
      </c>
    </row>
    <row r="913" spans="1:7">
      <c r="A913" s="1" t="s">
        <v>938</v>
      </c>
      <c r="B913" s="2">
        <v>46169.51736111111</v>
      </c>
      <c r="C913" s="1" t="s">
        <v>8</v>
      </c>
      <c r="D913" s="3">
        <v>710.1</v>
      </c>
      <c r="E913" s="3">
        <v>4.25</v>
      </c>
      <c r="F913" s="1" t="s">
        <v>9</v>
      </c>
      <c r="G913" s="1" t="str">
        <f>TEXT(RideData[[#This Row],[timestamp]],"hh:mm")</f>
        <v>12:25</v>
      </c>
    </row>
    <row r="914" spans="1:7">
      <c r="A914" s="1" t="s">
        <v>939</v>
      </c>
      <c r="B914" s="2">
        <v>46169.51736111111</v>
      </c>
      <c r="C914" s="1" t="s">
        <v>21</v>
      </c>
      <c r="D914" s="3">
        <v>1687.82</v>
      </c>
      <c r="E914" s="3">
        <v>3.67</v>
      </c>
      <c r="F914" s="1" t="s">
        <v>9</v>
      </c>
      <c r="G914" s="1" t="str">
        <f>TEXT(RideData[[#This Row],[timestamp]],"hh:mm")</f>
        <v>12:25</v>
      </c>
    </row>
    <row r="915" spans="1:7">
      <c r="A915" s="1" t="s">
        <v>940</v>
      </c>
      <c r="B915" s="2">
        <v>46169.51736111111</v>
      </c>
      <c r="C915" s="1" t="s">
        <v>12</v>
      </c>
      <c r="D915" s="3">
        <v>0</v>
      </c>
      <c r="E915" s="3">
        <v>3.76</v>
      </c>
      <c r="F915" s="1" t="s">
        <v>15</v>
      </c>
      <c r="G915" s="1" t="str">
        <f>TEXT(RideData[[#This Row],[timestamp]],"hh:mm")</f>
        <v>12:25</v>
      </c>
    </row>
    <row r="916" spans="1:7">
      <c r="A916" s="1" t="s">
        <v>941</v>
      </c>
      <c r="B916" s="2">
        <v>46169.51736111111</v>
      </c>
      <c r="C916" s="1" t="s">
        <v>8</v>
      </c>
      <c r="D916" s="3">
        <v>0</v>
      </c>
      <c r="E916" s="3">
        <v>4.34</v>
      </c>
      <c r="F916" s="1" t="s">
        <v>15</v>
      </c>
      <c r="G916" s="1" t="str">
        <f>TEXT(RideData[[#This Row],[timestamp]],"hh:mm")</f>
        <v>12:25</v>
      </c>
    </row>
    <row r="917" spans="1:7">
      <c r="A917" s="1" t="s">
        <v>942</v>
      </c>
      <c r="B917" s="2">
        <v>46169.51736111111</v>
      </c>
      <c r="C917" s="1" t="s">
        <v>21</v>
      </c>
      <c r="D917" s="3">
        <v>1441.08</v>
      </c>
      <c r="E917" s="3">
        <v>4.58</v>
      </c>
      <c r="F917" s="1" t="s">
        <v>9</v>
      </c>
      <c r="G917" s="1" t="str">
        <f>TEXT(RideData[[#This Row],[timestamp]],"hh:mm")</f>
        <v>12:25</v>
      </c>
    </row>
    <row r="918" spans="1:7">
      <c r="A918" s="1" t="s">
        <v>943</v>
      </c>
      <c r="B918" s="2">
        <v>46169.51736111111</v>
      </c>
      <c r="C918" s="1" t="s">
        <v>19</v>
      </c>
      <c r="D918" s="3">
        <v>2552.66</v>
      </c>
      <c r="E918" s="3">
        <v>4.26</v>
      </c>
      <c r="F918" s="1" t="s">
        <v>9</v>
      </c>
      <c r="G918" s="1" t="str">
        <f>TEXT(RideData[[#This Row],[timestamp]],"hh:mm")</f>
        <v>12:25</v>
      </c>
    </row>
    <row r="919" spans="1:7">
      <c r="A919" s="1" t="s">
        <v>944</v>
      </c>
      <c r="B919" s="2">
        <v>46169.51736111111</v>
      </c>
      <c r="C919" s="1" t="s">
        <v>8</v>
      </c>
      <c r="D919" s="3">
        <v>1886.26</v>
      </c>
      <c r="E919" s="3">
        <v>4.03</v>
      </c>
      <c r="F919" s="1" t="s">
        <v>9</v>
      </c>
      <c r="G919" s="1" t="str">
        <f>TEXT(RideData[[#This Row],[timestamp]],"hh:mm")</f>
        <v>12:25</v>
      </c>
    </row>
    <row r="920" spans="1:7">
      <c r="A920" s="1" t="s">
        <v>945</v>
      </c>
      <c r="B920" s="2">
        <v>46169.51736111111</v>
      </c>
      <c r="C920" s="1" t="s">
        <v>21</v>
      </c>
      <c r="D920" s="3">
        <v>1463.1</v>
      </c>
      <c r="E920" s="3">
        <v>3.77</v>
      </c>
      <c r="F920" s="1" t="s">
        <v>9</v>
      </c>
      <c r="G920" s="1" t="str">
        <f>TEXT(RideData[[#This Row],[timestamp]],"hh:mm")</f>
        <v>12:25</v>
      </c>
    </row>
    <row r="921" spans="1:7">
      <c r="A921" s="1" t="s">
        <v>946</v>
      </c>
      <c r="B921" s="2">
        <v>46169.51736111111</v>
      </c>
      <c r="C921" s="1" t="s">
        <v>21</v>
      </c>
      <c r="D921" s="3">
        <v>1546.58</v>
      </c>
      <c r="E921" s="3">
        <v>3.79</v>
      </c>
      <c r="F921" s="1" t="s">
        <v>9</v>
      </c>
      <c r="G921" s="1" t="str">
        <f>TEXT(RideData[[#This Row],[timestamp]],"hh:mm")</f>
        <v>12:25</v>
      </c>
    </row>
    <row r="922" spans="1:7">
      <c r="A922" s="1" t="s">
        <v>947</v>
      </c>
      <c r="B922" s="2">
        <v>46169.51736111111</v>
      </c>
      <c r="C922" s="1" t="s">
        <v>12</v>
      </c>
      <c r="D922" s="3">
        <v>1729.91</v>
      </c>
      <c r="E922" s="3">
        <v>4.39</v>
      </c>
      <c r="F922" s="1" t="s">
        <v>9</v>
      </c>
      <c r="G922" s="1" t="str">
        <f>TEXT(RideData[[#This Row],[timestamp]],"hh:mm")</f>
        <v>12:25</v>
      </c>
    </row>
    <row r="923" spans="1:7">
      <c r="A923" s="1" t="s">
        <v>948</v>
      </c>
      <c r="B923" s="2">
        <v>46169.51736111111</v>
      </c>
      <c r="C923" s="1" t="s">
        <v>12</v>
      </c>
      <c r="D923" s="3">
        <v>1668.59</v>
      </c>
      <c r="E923" s="3">
        <v>4.08</v>
      </c>
      <c r="F923" s="1" t="s">
        <v>9</v>
      </c>
      <c r="G923" s="1" t="str">
        <f>TEXT(RideData[[#This Row],[timestamp]],"hh:mm")</f>
        <v>12:25</v>
      </c>
    </row>
    <row r="924" spans="1:7">
      <c r="A924" s="1" t="s">
        <v>949</v>
      </c>
      <c r="B924" s="2">
        <v>46169.51736111111</v>
      </c>
      <c r="C924" s="1" t="s">
        <v>8</v>
      </c>
      <c r="D924" s="3">
        <v>740.64</v>
      </c>
      <c r="E924" s="3">
        <v>4.08</v>
      </c>
      <c r="F924" s="1" t="s">
        <v>9</v>
      </c>
      <c r="G924" s="1" t="str">
        <f>TEXT(RideData[[#This Row],[timestamp]],"hh:mm")</f>
        <v>12:25</v>
      </c>
    </row>
    <row r="925" spans="1:7">
      <c r="A925" s="1" t="s">
        <v>950</v>
      </c>
      <c r="B925" s="2">
        <v>46169.51736111111</v>
      </c>
      <c r="C925" s="1" t="s">
        <v>21</v>
      </c>
      <c r="D925" s="3">
        <v>926.83</v>
      </c>
      <c r="E925" s="3">
        <v>4.39</v>
      </c>
      <c r="F925" s="1" t="s">
        <v>9</v>
      </c>
      <c r="G925" s="1" t="str">
        <f>TEXT(RideData[[#This Row],[timestamp]],"hh:mm")</f>
        <v>12:25</v>
      </c>
    </row>
    <row r="926" spans="1:7">
      <c r="A926" s="1" t="s">
        <v>951</v>
      </c>
      <c r="B926" s="2">
        <v>46169.51736111111</v>
      </c>
      <c r="C926" s="1" t="s">
        <v>21</v>
      </c>
      <c r="D926" s="3">
        <v>1822.58</v>
      </c>
      <c r="E926" s="3">
        <v>4.01</v>
      </c>
      <c r="F926" s="1" t="s">
        <v>9</v>
      </c>
      <c r="G926" s="1" t="str">
        <f>TEXT(RideData[[#This Row],[timestamp]],"hh:mm")</f>
        <v>12:25</v>
      </c>
    </row>
    <row r="927" spans="1:7">
      <c r="A927" s="1" t="s">
        <v>952</v>
      </c>
      <c r="B927" s="2">
        <v>46169.51736111111</v>
      </c>
      <c r="C927" s="1" t="s">
        <v>21</v>
      </c>
      <c r="D927" s="3">
        <v>1191.62</v>
      </c>
      <c r="E927" s="3">
        <v>4.28</v>
      </c>
      <c r="F927" s="1" t="s">
        <v>9</v>
      </c>
      <c r="G927" s="1" t="str">
        <f>TEXT(RideData[[#This Row],[timestamp]],"hh:mm")</f>
        <v>12:25</v>
      </c>
    </row>
    <row r="928" spans="1:7">
      <c r="A928" s="1" t="s">
        <v>953</v>
      </c>
      <c r="B928" s="2">
        <v>46169.51736111111</v>
      </c>
      <c r="C928" s="1" t="s">
        <v>12</v>
      </c>
      <c r="D928" s="3">
        <v>1540.73</v>
      </c>
      <c r="E928" s="3">
        <v>4.01</v>
      </c>
      <c r="F928" s="1" t="s">
        <v>9</v>
      </c>
      <c r="G928" s="1" t="str">
        <f>TEXT(RideData[[#This Row],[timestamp]],"hh:mm")</f>
        <v>12:25</v>
      </c>
    </row>
    <row r="929" spans="1:7">
      <c r="A929" s="1" t="s">
        <v>954</v>
      </c>
      <c r="B929" s="2">
        <v>46169.51736111111</v>
      </c>
      <c r="C929" s="1" t="s">
        <v>19</v>
      </c>
      <c r="D929" s="3">
        <v>725.52</v>
      </c>
      <c r="E929" s="3">
        <v>4.77</v>
      </c>
      <c r="F929" s="1" t="s">
        <v>9</v>
      </c>
      <c r="G929" s="1" t="str">
        <f>TEXT(RideData[[#This Row],[timestamp]],"hh:mm")</f>
        <v>12:25</v>
      </c>
    </row>
    <row r="930" spans="1:7">
      <c r="A930" s="1" t="s">
        <v>955</v>
      </c>
      <c r="B930" s="2">
        <v>46169.52083333334</v>
      </c>
      <c r="C930" s="1" t="s">
        <v>8</v>
      </c>
      <c r="D930" s="3">
        <v>1664.9</v>
      </c>
      <c r="E930" s="3">
        <v>4.8</v>
      </c>
      <c r="F930" s="1" t="s">
        <v>9</v>
      </c>
      <c r="G930" s="1" t="str">
        <f>TEXT(RideData[[#This Row],[timestamp]],"hh:mm")</f>
        <v>12:30</v>
      </c>
    </row>
    <row r="931" spans="1:7">
      <c r="A931" s="1" t="s">
        <v>957</v>
      </c>
      <c r="B931" s="2">
        <v>46169.52083333334</v>
      </c>
      <c r="C931" s="1" t="s">
        <v>8</v>
      </c>
      <c r="D931" s="3">
        <v>1689.39</v>
      </c>
      <c r="E931" s="3">
        <v>3.59</v>
      </c>
      <c r="F931" s="1" t="s">
        <v>9</v>
      </c>
      <c r="G931" s="1" t="str">
        <f>TEXT(RideData[[#This Row],[timestamp]],"hh:mm")</f>
        <v>12:30</v>
      </c>
    </row>
    <row r="932" spans="1:7">
      <c r="A932" s="1" t="s">
        <v>958</v>
      </c>
      <c r="B932" s="2">
        <v>46169.52083333334</v>
      </c>
      <c r="C932" s="1" t="s">
        <v>8</v>
      </c>
      <c r="D932" s="3">
        <v>2002.33</v>
      </c>
      <c r="E932" s="3">
        <v>4.46</v>
      </c>
      <c r="F932" s="1" t="s">
        <v>9</v>
      </c>
      <c r="G932" s="1" t="str">
        <f>TEXT(RideData[[#This Row],[timestamp]],"hh:mm")</f>
        <v>12:30</v>
      </c>
    </row>
    <row r="933" spans="1:7">
      <c r="A933" s="1" t="s">
        <v>959</v>
      </c>
      <c r="B933" s="2">
        <v>46169.52083333334</v>
      </c>
      <c r="C933" s="1" t="s">
        <v>12</v>
      </c>
      <c r="D933" s="3">
        <v>0</v>
      </c>
      <c r="E933" s="3">
        <v>2.91</v>
      </c>
      <c r="F933" s="1" t="s">
        <v>15</v>
      </c>
      <c r="G933" s="1" t="str">
        <f>TEXT(RideData[[#This Row],[timestamp]],"hh:mm")</f>
        <v>12:30</v>
      </c>
    </row>
    <row r="934" spans="1:7">
      <c r="A934" s="1" t="s">
        <v>960</v>
      </c>
      <c r="B934" s="2">
        <v>46169.52083333334</v>
      </c>
      <c r="C934" s="1" t="s">
        <v>19</v>
      </c>
      <c r="D934" s="3">
        <v>1499.98</v>
      </c>
      <c r="E934" s="3">
        <v>4.25</v>
      </c>
      <c r="F934" s="1" t="s">
        <v>9</v>
      </c>
      <c r="G934" s="1" t="str">
        <f>TEXT(RideData[[#This Row],[timestamp]],"hh:mm")</f>
        <v>12:30</v>
      </c>
    </row>
    <row r="935" spans="1:7">
      <c r="A935" s="1" t="s">
        <v>961</v>
      </c>
      <c r="B935" s="2">
        <v>46169.52083333334</v>
      </c>
      <c r="C935" s="1" t="s">
        <v>21</v>
      </c>
      <c r="D935" s="3">
        <v>0</v>
      </c>
      <c r="E935" s="3">
        <v>3.35</v>
      </c>
      <c r="F935" s="1" t="s">
        <v>15</v>
      </c>
      <c r="G935" s="1" t="str">
        <f>TEXT(RideData[[#This Row],[timestamp]],"hh:mm")</f>
        <v>12:30</v>
      </c>
    </row>
    <row r="936" spans="1:7">
      <c r="A936" s="1" t="s">
        <v>962</v>
      </c>
      <c r="B936" s="2">
        <v>46169.52083333334</v>
      </c>
      <c r="C936" s="1" t="s">
        <v>12</v>
      </c>
      <c r="D936" s="3">
        <v>0</v>
      </c>
      <c r="E936" s="3">
        <v>4.32</v>
      </c>
      <c r="F936" s="1" t="s">
        <v>15</v>
      </c>
      <c r="G936" s="1" t="str">
        <f>TEXT(RideData[[#This Row],[timestamp]],"hh:mm")</f>
        <v>12:30</v>
      </c>
    </row>
    <row r="937" spans="1:7">
      <c r="A937" s="1" t="s">
        <v>963</v>
      </c>
      <c r="B937" s="2">
        <v>46169.52083333334</v>
      </c>
      <c r="C937" s="1" t="s">
        <v>21</v>
      </c>
      <c r="D937" s="3">
        <v>1537.94</v>
      </c>
      <c r="E937" s="3">
        <v>4.32</v>
      </c>
      <c r="F937" s="1" t="s">
        <v>9</v>
      </c>
      <c r="G937" s="1" t="str">
        <f>TEXT(RideData[[#This Row],[timestamp]],"hh:mm")</f>
        <v>12:30</v>
      </c>
    </row>
    <row r="938" spans="1:7">
      <c r="A938" s="1" t="s">
        <v>964</v>
      </c>
      <c r="B938" s="2">
        <v>46169.52083333334</v>
      </c>
      <c r="C938" s="1" t="s">
        <v>12</v>
      </c>
      <c r="D938" s="3">
        <v>3775.63</v>
      </c>
      <c r="E938" s="3">
        <v>3.84</v>
      </c>
      <c r="F938" s="1" t="s">
        <v>9</v>
      </c>
      <c r="G938" s="1" t="str">
        <f>TEXT(RideData[[#This Row],[timestamp]],"hh:mm")</f>
        <v>12:30</v>
      </c>
    </row>
    <row r="939" spans="1:7">
      <c r="A939" s="1" t="s">
        <v>965</v>
      </c>
      <c r="B939" s="2">
        <v>46169.52083333334</v>
      </c>
      <c r="C939" s="1" t="s">
        <v>12</v>
      </c>
      <c r="D939" s="3">
        <v>1584.56</v>
      </c>
      <c r="E939" s="3">
        <v>3.58</v>
      </c>
      <c r="F939" s="1" t="s">
        <v>9</v>
      </c>
      <c r="G939" s="1" t="str">
        <f>TEXT(RideData[[#This Row],[timestamp]],"hh:mm")</f>
        <v>12:30</v>
      </c>
    </row>
    <row r="940" spans="1:7">
      <c r="A940" s="1" t="s">
        <v>966</v>
      </c>
      <c r="B940" s="2">
        <v>46169.52083333334</v>
      </c>
      <c r="C940" s="1" t="s">
        <v>21</v>
      </c>
      <c r="D940" s="3">
        <v>0</v>
      </c>
      <c r="E940" s="3">
        <v>3.98</v>
      </c>
      <c r="F940" s="1" t="s">
        <v>17</v>
      </c>
      <c r="G940" s="1" t="str">
        <f>TEXT(RideData[[#This Row],[timestamp]],"hh:mm")</f>
        <v>12:30</v>
      </c>
    </row>
    <row r="941" spans="1:7">
      <c r="A941" s="1" t="s">
        <v>967</v>
      </c>
      <c r="B941" s="2">
        <v>46169.52083333334</v>
      </c>
      <c r="C941" s="1" t="s">
        <v>21</v>
      </c>
      <c r="D941" s="3">
        <v>0</v>
      </c>
      <c r="E941" s="3">
        <v>4.18</v>
      </c>
      <c r="F941" s="1" t="s">
        <v>15</v>
      </c>
      <c r="G941" s="1" t="str">
        <f>TEXT(RideData[[#This Row],[timestamp]],"hh:mm")</f>
        <v>12:30</v>
      </c>
    </row>
    <row r="942" spans="1:7">
      <c r="A942" s="1" t="s">
        <v>968</v>
      </c>
      <c r="B942" s="2">
        <v>46169.52083333334</v>
      </c>
      <c r="C942" s="1" t="s">
        <v>19</v>
      </c>
      <c r="D942" s="3">
        <v>0</v>
      </c>
      <c r="F942" s="1" t="s">
        <v>15</v>
      </c>
      <c r="G942" s="1" t="str">
        <f>TEXT(RideData[[#This Row],[timestamp]],"hh:mm")</f>
        <v>12:30</v>
      </c>
    </row>
    <row r="943" spans="1:7">
      <c r="A943" s="1" t="s">
        <v>969</v>
      </c>
      <c r="B943" s="2">
        <v>46169.52083333334</v>
      </c>
      <c r="C943" s="1" t="s">
        <v>12</v>
      </c>
      <c r="D943" s="3">
        <v>0</v>
      </c>
      <c r="E943" s="3">
        <v>3.84</v>
      </c>
      <c r="F943" s="1" t="s">
        <v>15</v>
      </c>
      <c r="G943" s="1" t="str">
        <f>TEXT(RideData[[#This Row],[timestamp]],"hh:mm")</f>
        <v>12:30</v>
      </c>
    </row>
    <row r="944" spans="1:7">
      <c r="A944" s="1" t="s">
        <v>970</v>
      </c>
      <c r="B944" s="2">
        <v>46169.52083333334</v>
      </c>
      <c r="C944" s="1" t="s">
        <v>19</v>
      </c>
      <c r="D944" s="3">
        <v>1713.7</v>
      </c>
      <c r="E944" s="3">
        <v>3.97</v>
      </c>
      <c r="F944" s="1" t="s">
        <v>9</v>
      </c>
      <c r="G944" s="1" t="str">
        <f>TEXT(RideData[[#This Row],[timestamp]],"hh:mm")</f>
        <v>12:30</v>
      </c>
    </row>
    <row r="945" spans="1:7">
      <c r="A945" s="1" t="s">
        <v>971</v>
      </c>
      <c r="B945" s="2">
        <v>46169.52083333334</v>
      </c>
      <c r="C945" s="1" t="s">
        <v>12</v>
      </c>
      <c r="D945" s="3">
        <v>1886.15</v>
      </c>
      <c r="E945" s="3">
        <v>4.35</v>
      </c>
      <c r="F945" s="1" t="s">
        <v>9</v>
      </c>
      <c r="G945" s="1" t="str">
        <f>TEXT(RideData[[#This Row],[timestamp]],"hh:mm")</f>
        <v>12:30</v>
      </c>
    </row>
    <row r="946" spans="1:7">
      <c r="A946" s="1" t="s">
        <v>972</v>
      </c>
      <c r="B946" s="2">
        <v>46169.52083333334</v>
      </c>
      <c r="C946" s="1" t="s">
        <v>8</v>
      </c>
      <c r="D946" s="3">
        <v>0</v>
      </c>
      <c r="E946" s="3">
        <v>2.83</v>
      </c>
      <c r="F946" s="1" t="s">
        <v>17</v>
      </c>
      <c r="G946" s="1" t="str">
        <f>TEXT(RideData[[#This Row],[timestamp]],"hh:mm")</f>
        <v>12:30</v>
      </c>
    </row>
    <row r="947" spans="1:7">
      <c r="A947" s="1" t="s">
        <v>973</v>
      </c>
      <c r="B947" s="2">
        <v>46169.52083333334</v>
      </c>
      <c r="C947" s="1" t="s">
        <v>21</v>
      </c>
      <c r="D947" s="3">
        <v>0</v>
      </c>
      <c r="E947" s="3">
        <v>3.91</v>
      </c>
      <c r="F947" s="1" t="s">
        <v>15</v>
      </c>
      <c r="G947" s="1" t="str">
        <f>TEXT(RideData[[#This Row],[timestamp]],"hh:mm")</f>
        <v>12:30</v>
      </c>
    </row>
    <row r="948" spans="1:7">
      <c r="A948" s="1" t="s">
        <v>974</v>
      </c>
      <c r="B948" s="2">
        <v>46169.52083333334</v>
      </c>
      <c r="C948" s="1" t="s">
        <v>19</v>
      </c>
      <c r="D948" s="3">
        <v>1112.86</v>
      </c>
      <c r="E948" s="3">
        <v>4.32</v>
      </c>
      <c r="F948" s="1" t="s">
        <v>9</v>
      </c>
      <c r="G948" s="1" t="str">
        <f>TEXT(RideData[[#This Row],[timestamp]],"hh:mm")</f>
        <v>12:30</v>
      </c>
    </row>
    <row r="949" spans="1:7">
      <c r="A949" s="1" t="s">
        <v>975</v>
      </c>
      <c r="B949" s="2">
        <v>46169.52083333334</v>
      </c>
      <c r="C949" s="1" t="s">
        <v>19</v>
      </c>
      <c r="D949" s="3">
        <v>1736.88</v>
      </c>
      <c r="F949" s="1" t="s">
        <v>9</v>
      </c>
      <c r="G949" s="1" t="str">
        <f>TEXT(RideData[[#This Row],[timestamp]],"hh:mm")</f>
        <v>12:30</v>
      </c>
    </row>
    <row r="950" spans="1:7">
      <c r="A950" s="1" t="s">
        <v>976</v>
      </c>
      <c r="B950" s="2">
        <v>46169.52083333334</v>
      </c>
      <c r="C950" s="1" t="s">
        <v>12</v>
      </c>
      <c r="D950" s="3">
        <v>1036.07</v>
      </c>
      <c r="E950" s="3">
        <v>4.26</v>
      </c>
      <c r="F950" s="1" t="s">
        <v>9</v>
      </c>
      <c r="G950" s="1" t="str">
        <f>TEXT(RideData[[#This Row],[timestamp]],"hh:mm")</f>
        <v>12:30</v>
      </c>
    </row>
    <row r="951" spans="1:7">
      <c r="A951" s="1" t="s">
        <v>977</v>
      </c>
      <c r="B951" s="2">
        <v>46169.52083333334</v>
      </c>
      <c r="C951" s="1" t="s">
        <v>19</v>
      </c>
      <c r="D951" s="3">
        <v>1251.42</v>
      </c>
      <c r="E951" s="3">
        <v>3.12</v>
      </c>
      <c r="F951" s="1" t="s">
        <v>9</v>
      </c>
      <c r="G951" s="1" t="str">
        <f>TEXT(RideData[[#This Row],[timestamp]],"hh:mm")</f>
        <v>12:30</v>
      </c>
    </row>
    <row r="952" spans="1:7">
      <c r="A952" s="1" t="s">
        <v>978</v>
      </c>
      <c r="B952" s="2">
        <v>46169.52083333334</v>
      </c>
      <c r="C952" s="1" t="s">
        <v>8</v>
      </c>
      <c r="D952" s="3">
        <v>1504.36</v>
      </c>
      <c r="E952" s="3">
        <v>4.53</v>
      </c>
      <c r="F952" s="1" t="s">
        <v>9</v>
      </c>
      <c r="G952" s="1" t="str">
        <f>TEXT(RideData[[#This Row],[timestamp]],"hh:mm")</f>
        <v>12:30</v>
      </c>
    </row>
    <row r="953" spans="1:7">
      <c r="A953" s="1" t="s">
        <v>979</v>
      </c>
      <c r="B953" s="2">
        <v>46169.52083333334</v>
      </c>
      <c r="C953" s="1" t="s">
        <v>8</v>
      </c>
      <c r="D953" s="3">
        <v>0</v>
      </c>
      <c r="F953" s="1" t="s">
        <v>15</v>
      </c>
      <c r="G953" s="1" t="str">
        <f>TEXT(RideData[[#This Row],[timestamp]],"hh:mm")</f>
        <v>12:30</v>
      </c>
    </row>
    <row r="954" spans="1:7">
      <c r="A954" s="1" t="s">
        <v>980</v>
      </c>
      <c r="B954" s="2">
        <v>46169.52083333334</v>
      </c>
      <c r="C954" s="1" t="s">
        <v>19</v>
      </c>
      <c r="D954" s="3">
        <v>0</v>
      </c>
      <c r="E954" s="3">
        <v>4.02</v>
      </c>
      <c r="F954" s="1" t="s">
        <v>15</v>
      </c>
      <c r="G954" s="1" t="str">
        <f>TEXT(RideData[[#This Row],[timestamp]],"hh:mm")</f>
        <v>12:30</v>
      </c>
    </row>
    <row r="955" spans="1:7">
      <c r="A955" s="1" t="s">
        <v>981</v>
      </c>
      <c r="B955" s="2">
        <v>46169.52083333334</v>
      </c>
      <c r="C955" s="1" t="s">
        <v>12</v>
      </c>
      <c r="D955" s="3">
        <v>1386.4</v>
      </c>
      <c r="E955" s="3">
        <v>4.7</v>
      </c>
      <c r="F955" s="1" t="s">
        <v>9</v>
      </c>
      <c r="G955" s="1" t="str">
        <f>TEXT(RideData[[#This Row],[timestamp]],"hh:mm")</f>
        <v>12:30</v>
      </c>
    </row>
    <row r="956" spans="1:7">
      <c r="A956" s="1" t="s">
        <v>982</v>
      </c>
      <c r="B956" s="2">
        <v>46169.52083333334</v>
      </c>
      <c r="C956" s="1" t="s">
        <v>21</v>
      </c>
      <c r="D956" s="3">
        <v>1006.93</v>
      </c>
      <c r="E956" s="3">
        <v>4.47</v>
      </c>
      <c r="F956" s="1" t="s">
        <v>9</v>
      </c>
      <c r="G956" s="1" t="str">
        <f>TEXT(RideData[[#This Row],[timestamp]],"hh:mm")</f>
        <v>12:30</v>
      </c>
    </row>
    <row r="957" spans="1:7">
      <c r="A957" s="1" t="s">
        <v>983</v>
      </c>
      <c r="B957" s="2">
        <v>46169.52083333334</v>
      </c>
      <c r="C957" s="1" t="s">
        <v>12</v>
      </c>
      <c r="D957" s="3">
        <v>1697.85</v>
      </c>
      <c r="E957" s="3">
        <v>4.36</v>
      </c>
      <c r="F957" s="1" t="s">
        <v>9</v>
      </c>
      <c r="G957" s="1" t="str">
        <f>TEXT(RideData[[#This Row],[timestamp]],"hh:mm")</f>
        <v>12:30</v>
      </c>
    </row>
    <row r="958" spans="1:7">
      <c r="A958" s="1" t="s">
        <v>984</v>
      </c>
      <c r="B958" s="2">
        <v>46169.52083333334</v>
      </c>
      <c r="C958" s="1" t="s">
        <v>12</v>
      </c>
      <c r="D958" s="3">
        <v>1167.18</v>
      </c>
      <c r="F958" s="1" t="s">
        <v>9</v>
      </c>
      <c r="G958" s="1" t="str">
        <f>TEXT(RideData[[#This Row],[timestamp]],"hh:mm")</f>
        <v>12:30</v>
      </c>
    </row>
    <row r="959" spans="1:7">
      <c r="A959" s="1" t="s">
        <v>985</v>
      </c>
      <c r="B959" s="2">
        <v>46169.52083333334</v>
      </c>
      <c r="C959" s="1" t="s">
        <v>21</v>
      </c>
      <c r="D959" s="3">
        <v>1300.65</v>
      </c>
      <c r="E959" s="3">
        <v>4.76</v>
      </c>
      <c r="F959" s="1" t="s">
        <v>9</v>
      </c>
      <c r="G959" s="1" t="str">
        <f>TEXT(RideData[[#This Row],[timestamp]],"hh:mm")</f>
        <v>12:30</v>
      </c>
    </row>
    <row r="960" spans="1:7">
      <c r="A960" s="1" t="s">
        <v>986</v>
      </c>
      <c r="B960" s="2">
        <v>46169.52083333334</v>
      </c>
      <c r="C960" s="1" t="s">
        <v>19</v>
      </c>
      <c r="D960" s="3">
        <v>1160.13</v>
      </c>
      <c r="F960" s="1" t="s">
        <v>9</v>
      </c>
      <c r="G960" s="1" t="str">
        <f>TEXT(RideData[[#This Row],[timestamp]],"hh:mm")</f>
        <v>12:30</v>
      </c>
    </row>
    <row r="961" spans="1:7">
      <c r="A961" s="1" t="s">
        <v>987</v>
      </c>
      <c r="B961" s="2">
        <v>46169.52083333334</v>
      </c>
      <c r="C961" s="1" t="s">
        <v>12</v>
      </c>
      <c r="D961" s="3">
        <v>0</v>
      </c>
      <c r="F961" s="1" t="s">
        <v>15</v>
      </c>
      <c r="G961" s="1" t="str">
        <f>TEXT(RideData[[#This Row],[timestamp]],"hh:mm")</f>
        <v>12:30</v>
      </c>
    </row>
    <row r="962" spans="1:7">
      <c r="A962" s="1" t="s">
        <v>988</v>
      </c>
      <c r="B962" s="2">
        <v>46169.52083333334</v>
      </c>
      <c r="C962" s="1" t="s">
        <v>12</v>
      </c>
      <c r="D962" s="3">
        <v>1401.17</v>
      </c>
      <c r="E962" s="3">
        <v>3.65</v>
      </c>
      <c r="F962" s="1" t="s">
        <v>9</v>
      </c>
      <c r="G962" s="1" t="str">
        <f>TEXT(RideData[[#This Row],[timestamp]],"hh:mm")</f>
        <v>12:30</v>
      </c>
    </row>
    <row r="963" spans="1:7">
      <c r="A963" s="1" t="s">
        <v>989</v>
      </c>
      <c r="B963" s="2">
        <v>46169.52083333334</v>
      </c>
      <c r="C963" s="1" t="s">
        <v>12</v>
      </c>
      <c r="D963" s="3">
        <v>0</v>
      </c>
      <c r="E963" s="3">
        <v>4.33</v>
      </c>
      <c r="F963" s="1" t="s">
        <v>15</v>
      </c>
      <c r="G963" s="1" t="str">
        <f>TEXT(RideData[[#This Row],[timestamp]],"hh:mm")</f>
        <v>12:30</v>
      </c>
    </row>
    <row r="964" spans="1:7">
      <c r="A964" s="1" t="s">
        <v>990</v>
      </c>
      <c r="B964" s="2">
        <v>46169.52083333334</v>
      </c>
      <c r="C964" s="1" t="s">
        <v>21</v>
      </c>
      <c r="D964" s="3">
        <v>1773.99</v>
      </c>
      <c r="E964" s="3">
        <v>4.94</v>
      </c>
      <c r="F964" s="1" t="s">
        <v>9</v>
      </c>
      <c r="G964" s="1" t="str">
        <f>TEXT(RideData[[#This Row],[timestamp]],"hh:mm")</f>
        <v>12:30</v>
      </c>
    </row>
    <row r="965" spans="1:7">
      <c r="A965" s="1" t="s">
        <v>991</v>
      </c>
      <c r="B965" s="2">
        <v>46169.52083333334</v>
      </c>
      <c r="C965" s="1" t="s">
        <v>19</v>
      </c>
      <c r="D965" s="3">
        <v>908.86</v>
      </c>
      <c r="E965" s="3">
        <v>4.17</v>
      </c>
      <c r="F965" s="1" t="s">
        <v>9</v>
      </c>
      <c r="G965" s="1" t="str">
        <f>TEXT(RideData[[#This Row],[timestamp]],"hh:mm")</f>
        <v>12:30</v>
      </c>
    </row>
    <row r="966" spans="1:7">
      <c r="A966" s="1" t="s">
        <v>992</v>
      </c>
      <c r="B966" s="2">
        <v>46169.52083333334</v>
      </c>
      <c r="C966" s="1" t="s">
        <v>21</v>
      </c>
      <c r="D966" s="3">
        <v>1613.89</v>
      </c>
      <c r="E966" s="3">
        <v>4.08</v>
      </c>
      <c r="F966" s="1" t="s">
        <v>9</v>
      </c>
      <c r="G966" s="1" t="str">
        <f>TEXT(RideData[[#This Row],[timestamp]],"hh:mm")</f>
        <v>12:30</v>
      </c>
    </row>
    <row r="967" spans="1:7">
      <c r="A967" s="1" t="s">
        <v>993</v>
      </c>
      <c r="B967" s="2">
        <v>46169.52083333334</v>
      </c>
      <c r="C967" s="1" t="s">
        <v>21</v>
      </c>
      <c r="D967" s="3">
        <v>1326.83</v>
      </c>
      <c r="E967" s="3">
        <v>4.02</v>
      </c>
      <c r="F967" s="1" t="s">
        <v>9</v>
      </c>
      <c r="G967" s="1" t="str">
        <f>TEXT(RideData[[#This Row],[timestamp]],"hh:mm")</f>
        <v>12:30</v>
      </c>
    </row>
    <row r="968" spans="1:7">
      <c r="A968" s="1" t="s">
        <v>994</v>
      </c>
      <c r="B968" s="2">
        <v>46169.52083333334</v>
      </c>
      <c r="C968" s="1" t="s">
        <v>12</v>
      </c>
      <c r="D968" s="3">
        <v>1922.09</v>
      </c>
      <c r="E968" s="3">
        <v>3.72</v>
      </c>
      <c r="F968" s="1" t="s">
        <v>9</v>
      </c>
      <c r="G968" s="1" t="str">
        <f>TEXT(RideData[[#This Row],[timestamp]],"hh:mm")</f>
        <v>12:30</v>
      </c>
    </row>
    <row r="969" spans="1:7">
      <c r="A969" s="1" t="s">
        <v>995</v>
      </c>
      <c r="B969" s="2">
        <v>46169.52083333334</v>
      </c>
      <c r="C969" s="1" t="s">
        <v>12</v>
      </c>
      <c r="D969" s="3">
        <v>1319.07</v>
      </c>
      <c r="E969" s="3">
        <v>3.95</v>
      </c>
      <c r="F969" s="1" t="s">
        <v>9</v>
      </c>
      <c r="G969" s="1" t="str">
        <f>TEXT(RideData[[#This Row],[timestamp]],"hh:mm")</f>
        <v>12:30</v>
      </c>
    </row>
    <row r="970" spans="1:7">
      <c r="A970" s="1" t="s">
        <v>996</v>
      </c>
      <c r="B970" s="2">
        <v>46169.52083333334</v>
      </c>
      <c r="C970" s="1" t="s">
        <v>12</v>
      </c>
      <c r="D970" s="3">
        <v>0</v>
      </c>
      <c r="E970" s="3">
        <v>4.06</v>
      </c>
      <c r="F970" s="1" t="s">
        <v>17</v>
      </c>
      <c r="G970" s="1" t="str">
        <f>TEXT(RideData[[#This Row],[timestamp]],"hh:mm")</f>
        <v>12:30</v>
      </c>
    </row>
    <row r="971" spans="1:7">
      <c r="A971" s="1" t="s">
        <v>997</v>
      </c>
      <c r="B971" s="2">
        <v>46169.52083333334</v>
      </c>
      <c r="C971" s="1" t="s">
        <v>12</v>
      </c>
      <c r="D971" s="3">
        <v>1793.8</v>
      </c>
      <c r="E971" s="3">
        <v>3.66</v>
      </c>
      <c r="F971" s="1" t="s">
        <v>9</v>
      </c>
      <c r="G971" s="1" t="str">
        <f>TEXT(RideData[[#This Row],[timestamp]],"hh:mm")</f>
        <v>12:30</v>
      </c>
    </row>
    <row r="972" spans="1:7">
      <c r="A972" s="1" t="s">
        <v>998</v>
      </c>
      <c r="B972" s="2">
        <v>46169.52083333334</v>
      </c>
      <c r="C972" s="1" t="s">
        <v>19</v>
      </c>
      <c r="D972" s="3">
        <v>0</v>
      </c>
      <c r="F972" s="1" t="s">
        <v>15</v>
      </c>
      <c r="G972" s="1" t="str">
        <f>TEXT(RideData[[#This Row],[timestamp]],"hh:mm")</f>
        <v>12:30</v>
      </c>
    </row>
    <row r="973" spans="1:7">
      <c r="A973" s="1" t="s">
        <v>999</v>
      </c>
      <c r="B973" s="2">
        <v>46169.52083333334</v>
      </c>
      <c r="C973" s="1" t="s">
        <v>8</v>
      </c>
      <c r="D973" s="3">
        <v>0</v>
      </c>
      <c r="E973" s="3">
        <v>3.86</v>
      </c>
      <c r="F973" s="1" t="s">
        <v>15</v>
      </c>
      <c r="G973" s="1" t="str">
        <f>TEXT(RideData[[#This Row],[timestamp]],"hh:mm")</f>
        <v>12:30</v>
      </c>
    </row>
    <row r="974" spans="1:7">
      <c r="A974" s="1" t="s">
        <v>1000</v>
      </c>
      <c r="B974" s="2">
        <v>46169.52083333334</v>
      </c>
      <c r="C974" s="1" t="s">
        <v>12</v>
      </c>
      <c r="D974" s="3">
        <v>0</v>
      </c>
      <c r="E974" s="3">
        <v>4.3</v>
      </c>
      <c r="F974" s="1" t="s">
        <v>15</v>
      </c>
      <c r="G974" s="1" t="str">
        <f>TEXT(RideData[[#This Row],[timestamp]],"hh:mm")</f>
        <v>12:30</v>
      </c>
    </row>
    <row r="975" spans="1:7">
      <c r="A975" s="1" t="s">
        <v>1001</v>
      </c>
      <c r="B975" s="2">
        <v>46169.52083333334</v>
      </c>
      <c r="C975" s="1" t="s">
        <v>19</v>
      </c>
      <c r="D975" s="3">
        <v>0</v>
      </c>
      <c r="E975" s="3">
        <v>3.91</v>
      </c>
      <c r="F975" s="1" t="s">
        <v>17</v>
      </c>
      <c r="G975" s="1" t="str">
        <f>TEXT(RideData[[#This Row],[timestamp]],"hh:mm")</f>
        <v>12:30</v>
      </c>
    </row>
    <row r="976" spans="1:7">
      <c r="A976" s="1" t="s">
        <v>1002</v>
      </c>
      <c r="B976" s="2">
        <v>46169.52083333334</v>
      </c>
      <c r="C976" s="1" t="s">
        <v>19</v>
      </c>
      <c r="D976" s="3">
        <v>550.48</v>
      </c>
      <c r="E976" s="3">
        <v>4.02</v>
      </c>
      <c r="F976" s="1" t="s">
        <v>9</v>
      </c>
      <c r="G976" s="1" t="str">
        <f>TEXT(RideData[[#This Row],[timestamp]],"hh:mm")</f>
        <v>12:30</v>
      </c>
    </row>
    <row r="977" spans="1:7">
      <c r="A977" s="1" t="s">
        <v>1003</v>
      </c>
      <c r="B977" s="2">
        <v>46169.52083333334</v>
      </c>
      <c r="C977" s="1" t="s">
        <v>19</v>
      </c>
      <c r="D977" s="3">
        <v>0</v>
      </c>
      <c r="E977" s="3">
        <v>4.22</v>
      </c>
      <c r="F977" s="1" t="s">
        <v>15</v>
      </c>
      <c r="G977" s="1" t="str">
        <f>TEXT(RideData[[#This Row],[timestamp]],"hh:mm")</f>
        <v>12:30</v>
      </c>
    </row>
    <row r="978" spans="1:7">
      <c r="A978" s="1" t="s">
        <v>1004</v>
      </c>
      <c r="B978" s="2">
        <v>46169.52083333334</v>
      </c>
      <c r="C978" s="1" t="s">
        <v>19</v>
      </c>
      <c r="D978" s="3">
        <v>1705.95</v>
      </c>
      <c r="E978" s="3">
        <v>4.89</v>
      </c>
      <c r="F978" s="1" t="s">
        <v>9</v>
      </c>
      <c r="G978" s="1" t="str">
        <f>TEXT(RideData[[#This Row],[timestamp]],"hh:mm")</f>
        <v>12:30</v>
      </c>
    </row>
    <row r="979" spans="1:7">
      <c r="A979" s="1" t="s">
        <v>1005</v>
      </c>
      <c r="B979" s="2">
        <v>46169.52083333334</v>
      </c>
      <c r="C979" s="1" t="s">
        <v>12</v>
      </c>
      <c r="D979" s="3">
        <v>1207.93</v>
      </c>
      <c r="F979" s="1" t="s">
        <v>9</v>
      </c>
      <c r="G979" s="1" t="str">
        <f>TEXT(RideData[[#This Row],[timestamp]],"hh:mm")</f>
        <v>12:30</v>
      </c>
    </row>
    <row r="980" spans="1:7">
      <c r="A980" s="1" t="s">
        <v>1006</v>
      </c>
      <c r="B980" s="2">
        <v>46169.52083333334</v>
      </c>
      <c r="C980" s="1" t="s">
        <v>12</v>
      </c>
      <c r="D980" s="3">
        <v>0</v>
      </c>
      <c r="F980" s="1" t="s">
        <v>15</v>
      </c>
      <c r="G980" s="1" t="str">
        <f>TEXT(RideData[[#This Row],[timestamp]],"hh:mm")</f>
        <v>12:30</v>
      </c>
    </row>
    <row r="981" spans="1:7">
      <c r="A981" s="1" t="s">
        <v>1007</v>
      </c>
      <c r="B981" s="2">
        <v>46169.52083333334</v>
      </c>
      <c r="C981" s="1" t="s">
        <v>19</v>
      </c>
      <c r="D981" s="3">
        <v>3135.84</v>
      </c>
      <c r="E981" s="3">
        <v>3.45</v>
      </c>
      <c r="F981" s="1" t="s">
        <v>9</v>
      </c>
      <c r="G981" s="1" t="str">
        <f>TEXT(RideData[[#This Row],[timestamp]],"hh:mm")</f>
        <v>12:30</v>
      </c>
    </row>
    <row r="982" spans="1:7">
      <c r="A982" s="1" t="s">
        <v>1008</v>
      </c>
      <c r="B982" s="2">
        <v>46169.52083333334</v>
      </c>
      <c r="C982" s="1" t="s">
        <v>19</v>
      </c>
      <c r="D982" s="3">
        <v>1434.59</v>
      </c>
      <c r="E982" s="3">
        <v>4.52</v>
      </c>
      <c r="F982" s="1" t="s">
        <v>9</v>
      </c>
      <c r="G982" s="1" t="str">
        <f>TEXT(RideData[[#This Row],[timestamp]],"hh:mm")</f>
        <v>12:30</v>
      </c>
    </row>
    <row r="983" spans="1:7">
      <c r="A983" s="1" t="s">
        <v>1009</v>
      </c>
      <c r="B983" s="2">
        <v>46169.52083333334</v>
      </c>
      <c r="C983" s="1" t="s">
        <v>21</v>
      </c>
      <c r="D983" s="3">
        <v>2005.62</v>
      </c>
      <c r="F983" s="1" t="s">
        <v>9</v>
      </c>
      <c r="G983" s="1" t="str">
        <f>TEXT(RideData[[#This Row],[timestamp]],"hh:mm")</f>
        <v>12:30</v>
      </c>
    </row>
    <row r="984" spans="1:7">
      <c r="A984" s="1" t="s">
        <v>1010</v>
      </c>
      <c r="B984" s="2">
        <v>46169.52083333334</v>
      </c>
      <c r="C984" s="1" t="s">
        <v>21</v>
      </c>
      <c r="D984" s="3">
        <v>1292.53</v>
      </c>
      <c r="E984" s="3">
        <v>4.62</v>
      </c>
      <c r="F984" s="1" t="s">
        <v>9</v>
      </c>
      <c r="G984" s="1" t="str">
        <f>TEXT(RideData[[#This Row],[timestamp]],"hh:mm")</f>
        <v>12:30</v>
      </c>
    </row>
    <row r="985" spans="1:7">
      <c r="A985" s="1" t="s">
        <v>1011</v>
      </c>
      <c r="B985" s="2">
        <v>46169.52083333334</v>
      </c>
      <c r="C985" s="1" t="s">
        <v>21</v>
      </c>
      <c r="D985" s="3">
        <v>0</v>
      </c>
      <c r="E985" s="3">
        <v>3.29</v>
      </c>
      <c r="F985" s="1" t="s">
        <v>17</v>
      </c>
      <c r="G985" s="1" t="str">
        <f>TEXT(RideData[[#This Row],[timestamp]],"hh:mm")</f>
        <v>12:30</v>
      </c>
    </row>
    <row r="986" spans="1:7">
      <c r="A986" s="1" t="s">
        <v>1012</v>
      </c>
      <c r="B986" s="2">
        <v>46169.52083333334</v>
      </c>
      <c r="C986" s="1" t="s">
        <v>19</v>
      </c>
      <c r="D986" s="3">
        <v>1631.91</v>
      </c>
      <c r="E986" s="3">
        <v>4.14</v>
      </c>
      <c r="F986" s="1" t="s">
        <v>9</v>
      </c>
      <c r="G986" s="1" t="str">
        <f>TEXT(RideData[[#This Row],[timestamp]],"hh:mm")</f>
        <v>12:30</v>
      </c>
    </row>
    <row r="987" spans="1:7">
      <c r="A987" s="1" t="s">
        <v>1013</v>
      </c>
      <c r="B987" s="2">
        <v>46169.52083333334</v>
      </c>
      <c r="C987" s="1" t="s">
        <v>8</v>
      </c>
      <c r="D987" s="3">
        <v>879.28</v>
      </c>
      <c r="E987" s="3">
        <v>3.45</v>
      </c>
      <c r="F987" s="1" t="s">
        <v>9</v>
      </c>
      <c r="G987" s="1" t="str">
        <f>TEXT(RideData[[#This Row],[timestamp]],"hh:mm")</f>
        <v>12:30</v>
      </c>
    </row>
    <row r="988" spans="1:7">
      <c r="A988" s="1" t="s">
        <v>1014</v>
      </c>
      <c r="B988" s="2">
        <v>46169.52083333334</v>
      </c>
      <c r="C988" s="1" t="s">
        <v>21</v>
      </c>
      <c r="D988" s="3">
        <v>1142.45</v>
      </c>
      <c r="E988" s="3">
        <v>2.77</v>
      </c>
      <c r="F988" s="1" t="s">
        <v>9</v>
      </c>
      <c r="G988" s="1" t="str">
        <f>TEXT(RideData[[#This Row],[timestamp]],"hh:mm")</f>
        <v>12:30</v>
      </c>
    </row>
    <row r="989" spans="1:7">
      <c r="A989" s="1" t="s">
        <v>1015</v>
      </c>
      <c r="B989" s="2">
        <v>46169.52083333334</v>
      </c>
      <c r="C989" s="1" t="s">
        <v>19</v>
      </c>
      <c r="D989" s="3">
        <v>0</v>
      </c>
      <c r="E989" s="3">
        <v>3.68</v>
      </c>
      <c r="F989" s="1" t="s">
        <v>15</v>
      </c>
      <c r="G989" s="1" t="str">
        <f>TEXT(RideData[[#This Row],[timestamp]],"hh:mm")</f>
        <v>12:30</v>
      </c>
    </row>
    <row r="990" spans="1:7">
      <c r="A990" s="1" t="s">
        <v>1016</v>
      </c>
      <c r="B990" s="2">
        <v>46169.52083333334</v>
      </c>
      <c r="C990" s="1" t="s">
        <v>19</v>
      </c>
      <c r="D990" s="3">
        <v>1778.2</v>
      </c>
      <c r="E990" s="3">
        <v>4.51</v>
      </c>
      <c r="F990" s="1" t="s">
        <v>9</v>
      </c>
      <c r="G990" s="1" t="str">
        <f>TEXT(RideData[[#This Row],[timestamp]],"hh:mm")</f>
        <v>12:30</v>
      </c>
    </row>
    <row r="991" spans="1:7">
      <c r="A991" s="1" t="s">
        <v>1017</v>
      </c>
      <c r="B991" s="2">
        <v>46169.52083333334</v>
      </c>
      <c r="C991" s="1" t="s">
        <v>8</v>
      </c>
      <c r="D991" s="3">
        <v>2901.94</v>
      </c>
      <c r="E991" s="3">
        <v>5</v>
      </c>
      <c r="F991" s="1" t="s">
        <v>9</v>
      </c>
      <c r="G991" s="1" t="str">
        <f>TEXT(RideData[[#This Row],[timestamp]],"hh:mm")</f>
        <v>12:30</v>
      </c>
    </row>
    <row r="992" spans="1:7">
      <c r="A992" s="1" t="s">
        <v>1018</v>
      </c>
      <c r="B992" s="2">
        <v>46169.52083333334</v>
      </c>
      <c r="C992" s="1" t="s">
        <v>8</v>
      </c>
      <c r="D992" s="3">
        <v>1197.52</v>
      </c>
      <c r="E992" s="3">
        <v>3.52</v>
      </c>
      <c r="F992" s="1" t="s">
        <v>9</v>
      </c>
      <c r="G992" s="1" t="str">
        <f>TEXT(RideData[[#This Row],[timestamp]],"hh:mm")</f>
        <v>12:30</v>
      </c>
    </row>
    <row r="993" spans="1:7">
      <c r="A993" s="1" t="s">
        <v>1019</v>
      </c>
      <c r="B993" s="2">
        <v>46169.52083333334</v>
      </c>
      <c r="C993" s="1" t="s">
        <v>12</v>
      </c>
      <c r="D993" s="3">
        <v>889.01</v>
      </c>
      <c r="E993" s="3">
        <v>4.05</v>
      </c>
      <c r="F993" s="1" t="s">
        <v>9</v>
      </c>
      <c r="G993" s="1" t="str">
        <f>TEXT(RideData[[#This Row],[timestamp]],"hh:mm")</f>
        <v>12:30</v>
      </c>
    </row>
    <row r="994" spans="1:7">
      <c r="A994" s="1" t="s">
        <v>1020</v>
      </c>
      <c r="B994" s="2">
        <v>46169.52083333334</v>
      </c>
      <c r="C994" s="1" t="s">
        <v>21</v>
      </c>
      <c r="D994" s="3">
        <v>1725.25</v>
      </c>
      <c r="E994" s="3">
        <v>4.62</v>
      </c>
      <c r="F994" s="1" t="s">
        <v>9</v>
      </c>
      <c r="G994" s="1" t="str">
        <f>TEXT(RideData[[#This Row],[timestamp]],"hh:mm")</f>
        <v>12:30</v>
      </c>
    </row>
    <row r="995" spans="1:7">
      <c r="A995" s="1" t="s">
        <v>1021</v>
      </c>
      <c r="B995" s="2">
        <v>46169.52083333334</v>
      </c>
      <c r="C995" s="1" t="s">
        <v>19</v>
      </c>
      <c r="D995" s="3">
        <v>1422.36</v>
      </c>
      <c r="F995" s="1" t="s">
        <v>9</v>
      </c>
      <c r="G995" s="1" t="str">
        <f>TEXT(RideData[[#This Row],[timestamp]],"hh:mm")</f>
        <v>12:30</v>
      </c>
    </row>
    <row r="996" spans="1:7">
      <c r="A996" s="1" t="s">
        <v>1022</v>
      </c>
      <c r="B996" s="2">
        <v>46169.52083333334</v>
      </c>
      <c r="C996" s="1" t="s">
        <v>8</v>
      </c>
      <c r="D996" s="3">
        <v>614.59</v>
      </c>
      <c r="E996" s="3">
        <v>3.4</v>
      </c>
      <c r="F996" s="1" t="s">
        <v>9</v>
      </c>
      <c r="G996" s="1" t="str">
        <f>TEXT(RideData[[#This Row],[timestamp]],"hh:mm")</f>
        <v>12:30</v>
      </c>
    </row>
    <row r="997" spans="1:7">
      <c r="A997" s="1" t="s">
        <v>1023</v>
      </c>
      <c r="B997" s="2">
        <v>46169.52083333334</v>
      </c>
      <c r="C997" s="1" t="s">
        <v>12</v>
      </c>
      <c r="D997" s="3">
        <v>776.75</v>
      </c>
      <c r="E997" s="3">
        <v>4.52</v>
      </c>
      <c r="F997" s="1" t="s">
        <v>9</v>
      </c>
      <c r="G997" s="1" t="str">
        <f>TEXT(RideData[[#This Row],[timestamp]],"hh:mm")</f>
        <v>12:30</v>
      </c>
    </row>
    <row r="998" spans="1:7">
      <c r="A998" s="1" t="s">
        <v>1024</v>
      </c>
      <c r="B998" s="2">
        <v>46169.52083333334</v>
      </c>
      <c r="C998" s="1" t="s">
        <v>19</v>
      </c>
      <c r="D998" s="3">
        <v>1313.09</v>
      </c>
      <c r="E998" s="3">
        <v>3.93</v>
      </c>
      <c r="F998" s="1" t="s">
        <v>9</v>
      </c>
      <c r="G998" s="1" t="str">
        <f>TEXT(RideData[[#This Row],[timestamp]],"hh:mm")</f>
        <v>12:30</v>
      </c>
    </row>
    <row r="999" spans="1:7">
      <c r="A999" s="1" t="s">
        <v>1025</v>
      </c>
      <c r="B999" s="2">
        <v>46169.52083333334</v>
      </c>
      <c r="C999" s="1" t="s">
        <v>19</v>
      </c>
      <c r="D999" s="3">
        <v>867.4299999999999</v>
      </c>
      <c r="E999" s="3">
        <v>4.33</v>
      </c>
      <c r="F999" s="1" t="s">
        <v>9</v>
      </c>
      <c r="G999" s="1" t="str">
        <f>TEXT(RideData[[#This Row],[timestamp]],"hh:mm")</f>
        <v>12:30</v>
      </c>
    </row>
    <row r="1000" spans="1:7">
      <c r="A1000" s="1" t="s">
        <v>1026</v>
      </c>
      <c r="B1000" s="2">
        <v>46169.52083333334</v>
      </c>
      <c r="C1000" s="1" t="s">
        <v>8</v>
      </c>
      <c r="D1000" s="3">
        <v>1768.96</v>
      </c>
      <c r="E1000" s="3">
        <v>4.27</v>
      </c>
      <c r="F1000" s="1" t="s">
        <v>9</v>
      </c>
      <c r="G1000" s="1" t="str">
        <f>TEXT(RideData[[#This Row],[timestamp]],"hh:mm")</f>
        <v>12:30</v>
      </c>
    </row>
    <row r="1001" spans="1:7">
      <c r="A1001" s="1" t="s">
        <v>1027</v>
      </c>
      <c r="B1001" s="2">
        <v>46169.52083333334</v>
      </c>
      <c r="C1001" s="1" t="s">
        <v>12</v>
      </c>
      <c r="D1001" s="3">
        <v>1586.79</v>
      </c>
      <c r="E1001" s="3">
        <v>3.78</v>
      </c>
      <c r="F1001" s="1" t="s">
        <v>9</v>
      </c>
      <c r="G1001" s="1" t="str">
        <f>TEXT(RideData[[#This Row],[timestamp]],"hh:mm")</f>
        <v>12:30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6.7109375" customWidth="1"/>
    <col min="2" max="5" width="16.7109375" customWidth="1"/>
  </cols>
  <sheetData>
    <row r="1" spans="1:3">
      <c r="A1" s="6" t="s">
        <v>1036</v>
      </c>
    </row>
    <row r="3" spans="1:3">
      <c r="A3" s="7" t="s">
        <v>1037</v>
      </c>
      <c r="B3" s="7" t="s">
        <v>1038</v>
      </c>
      <c r="C3" s="7" t="s">
        <v>1039</v>
      </c>
    </row>
    <row r="4" spans="1:3">
      <c r="A4" s="8" t="s">
        <v>9</v>
      </c>
      <c r="B4" s="9">
        <v>704</v>
      </c>
      <c r="C4" s="10">
        <v>0.704</v>
      </c>
    </row>
    <row r="5" spans="1:3">
      <c r="A5" s="8" t="s">
        <v>15</v>
      </c>
      <c r="B5" s="9">
        <v>222</v>
      </c>
      <c r="C5" s="10">
        <v>0.222</v>
      </c>
    </row>
    <row r="6" spans="1:3">
      <c r="A6" s="8" t="s">
        <v>17</v>
      </c>
      <c r="B6" s="9">
        <v>74</v>
      </c>
      <c r="C6" s="10">
        <v>0.074</v>
      </c>
    </row>
    <row r="7" spans="1:3">
      <c r="A7" s="11" t="s">
        <v>1040</v>
      </c>
      <c r="B7" s="12">
        <v>1000</v>
      </c>
      <c r="C7" s="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6" t="s">
        <v>1041</v>
      </c>
    </row>
    <row r="3" spans="1:2">
      <c r="A3" s="7" t="s">
        <v>1037</v>
      </c>
      <c r="B3" s="7" t="s">
        <v>1038</v>
      </c>
    </row>
    <row r="4" spans="1:2">
      <c r="A4" s="8" t="s">
        <v>21</v>
      </c>
      <c r="B4" s="9">
        <v>272</v>
      </c>
    </row>
    <row r="5" spans="1:2">
      <c r="A5" s="8" t="s">
        <v>19</v>
      </c>
      <c r="B5" s="9">
        <v>222</v>
      </c>
    </row>
    <row r="6" spans="1:2">
      <c r="A6" s="8" t="s">
        <v>12</v>
      </c>
      <c r="B6" s="9">
        <v>265</v>
      </c>
    </row>
    <row r="7" spans="1:2">
      <c r="A7" s="8" t="s">
        <v>8</v>
      </c>
      <c r="B7" s="9">
        <v>241</v>
      </c>
    </row>
    <row r="8" spans="1:2">
      <c r="A8" s="11" t="s">
        <v>1040</v>
      </c>
      <c r="B8" s="1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6.7109375" customWidth="1"/>
    <col min="2" max="5" width="16.7109375" customWidth="1"/>
  </cols>
  <sheetData>
    <row r="1" spans="1:2">
      <c r="A1" s="6" t="s">
        <v>1042</v>
      </c>
    </row>
    <row r="3" spans="1:2">
      <c r="A3" s="7" t="s">
        <v>1037</v>
      </c>
      <c r="B3" s="7" t="s">
        <v>1043</v>
      </c>
    </row>
    <row r="4" spans="1:2">
      <c r="A4" s="8" t="s">
        <v>21</v>
      </c>
      <c r="B4" s="9">
        <v>305497.62</v>
      </c>
    </row>
    <row r="5" spans="1:2">
      <c r="A5" s="8" t="s">
        <v>19</v>
      </c>
      <c r="B5" s="9">
        <v>240807.78</v>
      </c>
    </row>
    <row r="6" spans="1:2">
      <c r="A6" s="8" t="s">
        <v>12</v>
      </c>
      <c r="B6" s="9">
        <v>275578.13</v>
      </c>
    </row>
    <row r="7" spans="1:2">
      <c r="A7" s="8" t="s">
        <v>8</v>
      </c>
      <c r="B7" s="9">
        <v>237481.22</v>
      </c>
    </row>
    <row r="8" spans="1:2">
      <c r="A8" s="11" t="s">
        <v>1040</v>
      </c>
      <c r="B8" s="12">
        <v>1059364.75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6.7109375" customWidth="1"/>
    <col min="2" max="5" width="16.7109375" customWidth="1"/>
  </cols>
  <sheetData>
    <row r="1" spans="1:5">
      <c r="A1" s="6" t="s">
        <v>1044</v>
      </c>
    </row>
    <row r="3" spans="1:5">
      <c r="A3" s="7" t="s">
        <v>1037</v>
      </c>
      <c r="B3" s="7" t="s">
        <v>1038</v>
      </c>
      <c r="C3" s="7" t="s">
        <v>1043</v>
      </c>
      <c r="D3" s="7" t="s">
        <v>1045</v>
      </c>
      <c r="E3" s="7" t="s">
        <v>1046</v>
      </c>
    </row>
    <row r="4" spans="1:5">
      <c r="A4" s="8" t="s">
        <v>10</v>
      </c>
      <c r="B4" s="9">
        <v>89</v>
      </c>
      <c r="C4" s="9">
        <v>100665.22</v>
      </c>
      <c r="D4" s="14">
        <v>312.61</v>
      </c>
      <c r="E4" s="9">
        <v>77</v>
      </c>
    </row>
    <row r="5" spans="1:5">
      <c r="A5" s="8" t="s">
        <v>105</v>
      </c>
      <c r="B5" s="9">
        <v>61</v>
      </c>
      <c r="C5" s="9">
        <v>67671.12</v>
      </c>
      <c r="D5" s="14">
        <v>205.36</v>
      </c>
      <c r="E5" s="9">
        <v>50</v>
      </c>
    </row>
    <row r="6" spans="1:5">
      <c r="A6" s="8" t="s">
        <v>167</v>
      </c>
      <c r="B6" s="9">
        <v>79</v>
      </c>
      <c r="C6" s="9">
        <v>89000.55</v>
      </c>
      <c r="D6" s="14">
        <v>285.32</v>
      </c>
      <c r="E6" s="9">
        <v>70</v>
      </c>
    </row>
    <row r="7" spans="1:5">
      <c r="A7" s="8" t="s">
        <v>247</v>
      </c>
      <c r="B7" s="9">
        <v>64</v>
      </c>
      <c r="C7" s="9">
        <v>62602.87</v>
      </c>
      <c r="D7" s="14">
        <v>230.18</v>
      </c>
      <c r="E7" s="9">
        <v>57</v>
      </c>
    </row>
    <row r="8" spans="1:5">
      <c r="A8" s="8" t="s">
        <v>312</v>
      </c>
      <c r="B8" s="9">
        <v>79</v>
      </c>
      <c r="C8" s="9">
        <v>97134.60000000001</v>
      </c>
      <c r="D8" s="14">
        <v>279.26</v>
      </c>
      <c r="E8" s="9">
        <v>71</v>
      </c>
    </row>
    <row r="9" spans="1:5">
      <c r="A9" s="8" t="s">
        <v>392</v>
      </c>
      <c r="B9" s="9">
        <v>63</v>
      </c>
      <c r="C9" s="9">
        <v>76390.06</v>
      </c>
      <c r="D9" s="14">
        <v>225.23</v>
      </c>
      <c r="E9" s="9">
        <v>57</v>
      </c>
    </row>
    <row r="10" spans="1:5">
      <c r="A10" s="8" t="s">
        <v>456</v>
      </c>
      <c r="B10" s="9">
        <v>73</v>
      </c>
      <c r="C10" s="9">
        <v>71041.66</v>
      </c>
      <c r="D10" s="14">
        <v>270.14</v>
      </c>
      <c r="E10" s="9">
        <v>68</v>
      </c>
    </row>
    <row r="11" spans="1:5">
      <c r="A11" s="8" t="s">
        <v>530</v>
      </c>
      <c r="B11" s="9">
        <v>64</v>
      </c>
      <c r="C11" s="9">
        <v>52348.82</v>
      </c>
      <c r="D11" s="14">
        <v>231.9</v>
      </c>
      <c r="E11" s="9">
        <v>56</v>
      </c>
    </row>
    <row r="12" spans="1:5">
      <c r="A12" s="8" t="s">
        <v>595</v>
      </c>
      <c r="B12" s="9">
        <v>67</v>
      </c>
      <c r="C12" s="9">
        <v>68865.45</v>
      </c>
      <c r="D12" s="14">
        <v>262.58</v>
      </c>
      <c r="E12" s="9">
        <v>64</v>
      </c>
    </row>
    <row r="13" spans="1:5">
      <c r="A13" s="8" t="s">
        <v>663</v>
      </c>
      <c r="B13" s="9">
        <v>77</v>
      </c>
      <c r="C13" s="9">
        <v>85751.67</v>
      </c>
      <c r="D13" s="14">
        <v>251.56</v>
      </c>
      <c r="E13" s="9">
        <v>65</v>
      </c>
    </row>
    <row r="14" spans="1:5">
      <c r="A14" s="8" t="s">
        <v>741</v>
      </c>
      <c r="B14" s="9">
        <v>51</v>
      </c>
      <c r="C14" s="9">
        <v>50699.1</v>
      </c>
      <c r="D14" s="14">
        <v>178.6</v>
      </c>
      <c r="E14" s="9">
        <v>45</v>
      </c>
    </row>
    <row r="15" spans="1:5">
      <c r="A15" s="8" t="s">
        <v>793</v>
      </c>
      <c r="B15" s="9">
        <v>92</v>
      </c>
      <c r="C15" s="9">
        <v>88392.7</v>
      </c>
      <c r="D15" s="14">
        <v>339.78</v>
      </c>
      <c r="E15" s="9">
        <v>85</v>
      </c>
    </row>
    <row r="16" spans="1:5">
      <c r="A16" s="8" t="s">
        <v>886</v>
      </c>
      <c r="B16" s="9">
        <v>69</v>
      </c>
      <c r="C16" s="9">
        <v>73197.45</v>
      </c>
      <c r="D16" s="14">
        <v>261.06</v>
      </c>
      <c r="E16" s="9">
        <v>65</v>
      </c>
    </row>
    <row r="17" spans="1:5">
      <c r="A17" s="8" t="s">
        <v>956</v>
      </c>
      <c r="B17" s="9">
        <v>72</v>
      </c>
      <c r="C17" s="9">
        <v>75603.48</v>
      </c>
      <c r="D17" s="14">
        <v>246.65</v>
      </c>
      <c r="E17" s="9">
        <v>61</v>
      </c>
    </row>
    <row r="18" spans="1:5">
      <c r="A18" s="11" t="s">
        <v>1040</v>
      </c>
      <c r="B18" s="12">
        <v>1000</v>
      </c>
      <c r="C18" s="12">
        <v>1059364.75</v>
      </c>
      <c r="D18" s="15">
        <v>3580.23</v>
      </c>
      <c r="E18" s="12">
        <v>891</v>
      </c>
    </row>
    <row r="20" spans="1:5">
      <c r="A20" s="16" t="s">
        <v>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G150"/>
  <sheetViews>
    <sheetView showGridLines="0" tabSelected="1" workbookViewId="0"/>
  </sheetViews>
  <sheetFormatPr defaultRowHeight="15"/>
  <cols>
    <col min="1" max="241" width="0.7109375" style="17" customWidth="1"/>
  </cols>
  <sheetData>
    <row r="1" spans="3:236" ht="3.75" customHeight="1"/>
    <row r="2" spans="3:236" ht="3.75" customHeight="1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20"/>
    </row>
    <row r="3" spans="3:236" ht="3.75" customHeight="1"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 t="s">
        <v>1049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4"/>
    </row>
    <row r="4" spans="3:236" ht="3.75" customHeight="1">
      <c r="C4" s="21"/>
      <c r="D4" s="22"/>
      <c r="E4" s="25" t="s">
        <v>1048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2"/>
      <c r="S4" s="22"/>
      <c r="T4" s="22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6" t="s">
        <v>1051</v>
      </c>
      <c r="GK4" s="26"/>
      <c r="GL4" s="26"/>
      <c r="GM4" s="26"/>
      <c r="GN4" s="26"/>
      <c r="GO4" s="26"/>
      <c r="GP4" s="26"/>
      <c r="GQ4" s="26"/>
      <c r="GR4" s="26"/>
      <c r="GS4" s="27" t="s">
        <v>1052</v>
      </c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4"/>
    </row>
    <row r="5" spans="3:236" ht="3.75" customHeight="1">
      <c r="C5" s="21"/>
      <c r="D5" s="22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2"/>
      <c r="S5" s="22"/>
      <c r="T5" s="22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6"/>
      <c r="GK5" s="26"/>
      <c r="GL5" s="26"/>
      <c r="GM5" s="26"/>
      <c r="GN5" s="26"/>
      <c r="GO5" s="26"/>
      <c r="GP5" s="26"/>
      <c r="GQ5" s="26"/>
      <c r="GR5" s="26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4"/>
    </row>
    <row r="6" spans="3:236" ht="3.75" customHeight="1">
      <c r="C6" s="21"/>
      <c r="D6" s="22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2"/>
      <c r="S6" s="22"/>
      <c r="T6" s="22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6"/>
      <c r="GK6" s="26"/>
      <c r="GL6" s="26"/>
      <c r="GM6" s="26"/>
      <c r="GN6" s="26"/>
      <c r="GO6" s="26"/>
      <c r="GP6" s="26"/>
      <c r="GQ6" s="26"/>
      <c r="GR6" s="26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4"/>
    </row>
    <row r="7" spans="3:236" ht="3.75" customHeight="1">
      <c r="C7" s="21"/>
      <c r="D7" s="22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2"/>
      <c r="S7" s="22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6"/>
      <c r="GK7" s="26"/>
      <c r="GL7" s="26"/>
      <c r="GM7" s="26"/>
      <c r="GN7" s="26"/>
      <c r="GO7" s="26"/>
      <c r="GP7" s="26"/>
      <c r="GQ7" s="26"/>
      <c r="GR7" s="26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4"/>
    </row>
    <row r="8" spans="3:236" ht="3.75" customHeight="1">
      <c r="C8" s="21"/>
      <c r="D8" s="22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2"/>
      <c r="S8" s="22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6"/>
      <c r="GK8" s="26"/>
      <c r="GL8" s="26"/>
      <c r="GM8" s="26"/>
      <c r="GN8" s="26"/>
      <c r="GO8" s="26"/>
      <c r="GP8" s="26"/>
      <c r="GQ8" s="26"/>
      <c r="GR8" s="26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4"/>
    </row>
    <row r="9" spans="3:236" ht="3.75" customHeight="1">
      <c r="C9" s="21"/>
      <c r="D9" s="22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2"/>
      <c r="S9" s="22"/>
      <c r="T9" s="22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6"/>
      <c r="GK9" s="26"/>
      <c r="GL9" s="26"/>
      <c r="GM9" s="26"/>
      <c r="GN9" s="26"/>
      <c r="GO9" s="26"/>
      <c r="GP9" s="26"/>
      <c r="GQ9" s="26"/>
      <c r="GR9" s="26"/>
      <c r="GS9" s="28" t="str">
        <f>TEXT(MIN('Clean Data'!$B$2:$B$1001),"dd mmm yyyy")&amp;" – "&amp;TEXT(MAX('Clean Data'!$B$2:$B$1001),"dd mmm yyyy")</f>
        <v>27 May 2026 – 27 May 2026</v>
      </c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</row>
    <row r="10" spans="3:236" ht="3.75" customHeight="1">
      <c r="C10" s="21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2"/>
      <c r="S10" s="22"/>
      <c r="T10" s="22"/>
      <c r="U10" s="29" t="s">
        <v>1050</v>
      </c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6"/>
      <c r="GK10" s="26"/>
      <c r="GL10" s="26"/>
      <c r="GM10" s="26"/>
      <c r="GN10" s="26"/>
      <c r="GO10" s="26"/>
      <c r="GP10" s="26"/>
      <c r="GQ10" s="26"/>
      <c r="GR10" s="26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</row>
    <row r="11" spans="3:236" ht="3.75" customHeight="1">
      <c r="C11" s="21"/>
      <c r="D11" s="22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2"/>
      <c r="S11" s="22"/>
      <c r="T11" s="22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6"/>
      <c r="GK11" s="26"/>
      <c r="GL11" s="26"/>
      <c r="GM11" s="26"/>
      <c r="GN11" s="26"/>
      <c r="GO11" s="26"/>
      <c r="GP11" s="26"/>
      <c r="GQ11" s="26"/>
      <c r="GR11" s="26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</row>
    <row r="12" spans="3:236" ht="3.75" customHeight="1">
      <c r="C12" s="21"/>
      <c r="D12" s="22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2"/>
      <c r="S12" s="22"/>
      <c r="T12" s="22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6"/>
      <c r="GK12" s="26"/>
      <c r="GL12" s="26"/>
      <c r="GM12" s="26"/>
      <c r="GN12" s="26"/>
      <c r="GO12" s="26"/>
      <c r="GP12" s="26"/>
      <c r="GQ12" s="26"/>
      <c r="GR12" s="26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</row>
    <row r="13" spans="3:236" ht="3.75" customHeight="1">
      <c r="C13" s="21"/>
      <c r="D13" s="22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2"/>
      <c r="S13" s="22"/>
      <c r="T13" s="22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6"/>
      <c r="GK13" s="26"/>
      <c r="GL13" s="26"/>
      <c r="GM13" s="26"/>
      <c r="GN13" s="26"/>
      <c r="GO13" s="26"/>
      <c r="GP13" s="26"/>
      <c r="GQ13" s="26"/>
      <c r="GR13" s="26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</row>
    <row r="14" spans="3:236" ht="3.75" customHeight="1"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4"/>
    </row>
    <row r="15" spans="3:236" ht="3.75" customHeight="1"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2"/>
    </row>
    <row r="16" spans="3:236" ht="3.75" customHeight="1"/>
    <row r="17" spans="3:236" ht="3.75" customHeight="1"/>
    <row r="18" spans="3:236" ht="3.75" customHeight="1">
      <c r="C18" s="33" t="s">
        <v>1053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C18" s="34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6"/>
      <c r="CX18" s="37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9"/>
      <c r="EP18" s="40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2"/>
      <c r="GI18" s="43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5"/>
    </row>
    <row r="19" spans="3:236" ht="3.75" customHeight="1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C19" s="46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8"/>
      <c r="CX19" s="49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1"/>
      <c r="EP19" s="52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4"/>
      <c r="GI19" s="55"/>
      <c r="GJ19" s="56"/>
      <c r="GK19" s="56"/>
      <c r="GL19" s="56"/>
      <c r="GM19" s="56"/>
      <c r="GN19" s="56"/>
      <c r="GO19" s="56"/>
      <c r="GP19" s="56"/>
      <c r="GQ19" s="56"/>
      <c r="GR19" s="56"/>
      <c r="GS19" s="56"/>
      <c r="GT19" s="56"/>
      <c r="GU19" s="56"/>
      <c r="GV19" s="56"/>
      <c r="GW19" s="56"/>
      <c r="GX19" s="56"/>
      <c r="GY19" s="56"/>
      <c r="GZ19" s="56"/>
      <c r="HA19" s="56"/>
      <c r="HB19" s="56"/>
      <c r="HC19" s="56"/>
      <c r="HD19" s="56"/>
      <c r="HE19" s="56"/>
      <c r="HF19" s="56"/>
      <c r="HG19" s="56"/>
      <c r="HH19" s="56"/>
      <c r="HI19" s="56"/>
      <c r="HJ19" s="56"/>
      <c r="HK19" s="56"/>
      <c r="HL19" s="56"/>
      <c r="HM19" s="56"/>
      <c r="HN19" s="56"/>
      <c r="HO19" s="56"/>
      <c r="HP19" s="56"/>
      <c r="HQ19" s="56"/>
      <c r="HR19" s="56"/>
      <c r="HS19" s="56"/>
      <c r="HT19" s="56"/>
      <c r="HU19" s="56"/>
      <c r="HV19" s="56"/>
      <c r="HW19" s="56"/>
      <c r="HX19" s="56"/>
      <c r="HY19" s="56"/>
      <c r="HZ19" s="56"/>
      <c r="IA19" s="56"/>
      <c r="IB19" s="57"/>
    </row>
    <row r="20" spans="3:236" ht="3.75" customHeight="1"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C20" s="46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58" t="s">
        <v>1068</v>
      </c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47"/>
      <c r="CV20" s="48"/>
      <c r="CX20" s="49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9" t="s">
        <v>1069</v>
      </c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1"/>
      <c r="EP20" s="52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60" t="s">
        <v>1070</v>
      </c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53"/>
      <c r="GG20" s="54"/>
      <c r="GI20" s="55"/>
      <c r="GJ20" s="56"/>
      <c r="GK20" s="56"/>
      <c r="GL20" s="56"/>
      <c r="GM20" s="56"/>
      <c r="GN20" s="56"/>
      <c r="GO20" s="56"/>
      <c r="GP20" s="56"/>
      <c r="GQ20" s="56"/>
      <c r="GR20" s="56"/>
      <c r="GS20" s="56"/>
      <c r="GT20" s="56"/>
      <c r="GU20" s="56"/>
      <c r="GV20" s="56"/>
      <c r="GW20" s="56"/>
      <c r="GX20" s="56"/>
      <c r="GY20" s="56"/>
      <c r="GZ20" s="56"/>
      <c r="HA20" s="56"/>
      <c r="HB20" s="61" t="s">
        <v>1072</v>
      </c>
      <c r="HC20" s="61"/>
      <c r="HD20" s="61"/>
      <c r="HE20" s="61"/>
      <c r="HF20" s="61"/>
      <c r="HG20" s="61"/>
      <c r="HH20" s="61"/>
      <c r="HI20" s="61"/>
      <c r="HJ20" s="61"/>
      <c r="HK20" s="61"/>
      <c r="HL20" s="61"/>
      <c r="HM20" s="61"/>
      <c r="HN20" s="61"/>
      <c r="HO20" s="61"/>
      <c r="HP20" s="61"/>
      <c r="HQ20" s="61"/>
      <c r="HR20" s="61"/>
      <c r="HS20" s="61"/>
      <c r="HT20" s="61"/>
      <c r="HU20" s="61"/>
      <c r="HV20" s="61"/>
      <c r="HW20" s="61"/>
      <c r="HX20" s="61"/>
      <c r="HY20" s="61"/>
      <c r="HZ20" s="61"/>
      <c r="IA20" s="61"/>
      <c r="IB20" s="57"/>
    </row>
    <row r="21" spans="3:236" ht="3.75" customHeight="1"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C21" s="46"/>
      <c r="BD21" s="47"/>
      <c r="BE21" s="47"/>
      <c r="BF21" s="47"/>
      <c r="BG21" s="62" t="s">
        <v>1066</v>
      </c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47"/>
      <c r="BS21" s="47"/>
      <c r="BT21" s="47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47"/>
      <c r="CV21" s="48"/>
      <c r="CX21" s="49"/>
      <c r="CY21" s="50"/>
      <c r="CZ21" s="50"/>
      <c r="DA21" s="50"/>
      <c r="DB21" s="63" t="s">
        <v>1060</v>
      </c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50"/>
      <c r="DN21" s="50"/>
      <c r="DO21" s="50"/>
      <c r="DP21" s="50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1"/>
      <c r="EP21" s="52"/>
      <c r="EQ21" s="53"/>
      <c r="ER21" s="53"/>
      <c r="ES21" s="53"/>
      <c r="ET21" s="64" t="s">
        <v>1062</v>
      </c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53"/>
      <c r="FF21" s="53"/>
      <c r="FG21" s="53"/>
      <c r="FH21" s="60"/>
      <c r="FI21" s="60"/>
      <c r="FJ21" s="60"/>
      <c r="FK21" s="60"/>
      <c r="FL21" s="60"/>
      <c r="FM21" s="60"/>
      <c r="FN21" s="60"/>
      <c r="FO21" s="60"/>
      <c r="FP21" s="60"/>
      <c r="FQ21" s="60"/>
      <c r="FR21" s="60"/>
      <c r="FS21" s="60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53"/>
      <c r="GG21" s="54"/>
      <c r="GI21" s="55"/>
      <c r="GJ21" s="56"/>
      <c r="GK21" s="56"/>
      <c r="GL21" s="56"/>
      <c r="GM21" s="56"/>
      <c r="GN21" s="65" t="s">
        <v>1071</v>
      </c>
      <c r="GO21" s="65"/>
      <c r="GP21" s="65"/>
      <c r="GQ21" s="65"/>
      <c r="GR21" s="65"/>
      <c r="GS21" s="65"/>
      <c r="GT21" s="65"/>
      <c r="GU21" s="65"/>
      <c r="GV21" s="65"/>
      <c r="GW21" s="65"/>
      <c r="GX21" s="56"/>
      <c r="GY21" s="56"/>
      <c r="GZ21" s="56"/>
      <c r="HA21" s="56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57"/>
    </row>
    <row r="22" spans="3:236" ht="3.75" customHeight="1"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C22" s="46"/>
      <c r="BD22" s="47"/>
      <c r="BE22" s="47"/>
      <c r="BF22" s="47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47"/>
      <c r="BS22" s="47"/>
      <c r="BT22" s="47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47"/>
      <c r="CV22" s="48"/>
      <c r="CX22" s="49"/>
      <c r="CY22" s="50"/>
      <c r="CZ22" s="50"/>
      <c r="DA22" s="50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50"/>
      <c r="DN22" s="50"/>
      <c r="DO22" s="50"/>
      <c r="DP22" s="50"/>
      <c r="DQ22" s="59"/>
      <c r="DR22" s="59"/>
      <c r="DS22" s="59"/>
      <c r="DT22" s="59"/>
      <c r="DU22" s="59"/>
      <c r="DV22" s="59"/>
      <c r="DW22" s="59"/>
      <c r="DX22" s="59"/>
      <c r="DY22" s="59"/>
      <c r="DZ22" s="59"/>
      <c r="EA22" s="59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1"/>
      <c r="EP22" s="52"/>
      <c r="EQ22" s="53"/>
      <c r="ER22" s="53"/>
      <c r="ES22" s="53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53"/>
      <c r="FF22" s="53"/>
      <c r="FG22" s="53"/>
      <c r="FH22" s="60"/>
      <c r="FI22" s="60"/>
      <c r="FJ22" s="6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53"/>
      <c r="GG22" s="54"/>
      <c r="GI22" s="55"/>
      <c r="GJ22" s="56"/>
      <c r="GK22" s="56"/>
      <c r="GL22" s="56"/>
      <c r="GM22" s="56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56"/>
      <c r="GY22" s="56"/>
      <c r="GZ22" s="56"/>
      <c r="HA22" s="56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57"/>
    </row>
    <row r="23" spans="3:236" ht="3.75" customHeight="1"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C23" s="46"/>
      <c r="BD23" s="47"/>
      <c r="BE23" s="47"/>
      <c r="BF23" s="47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47"/>
      <c r="BS23" s="47"/>
      <c r="BT23" s="47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47"/>
      <c r="CV23" s="48"/>
      <c r="CX23" s="49"/>
      <c r="CY23" s="50"/>
      <c r="CZ23" s="50"/>
      <c r="DA23" s="50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50"/>
      <c r="DN23" s="50"/>
      <c r="DO23" s="50"/>
      <c r="DP23" s="50"/>
      <c r="DQ23" s="59"/>
      <c r="DR23" s="59"/>
      <c r="DS23" s="59"/>
      <c r="DT23" s="59"/>
      <c r="DU23" s="59"/>
      <c r="DV23" s="59"/>
      <c r="DW23" s="59"/>
      <c r="DX23" s="59"/>
      <c r="DY23" s="59"/>
      <c r="DZ23" s="59"/>
      <c r="EA23" s="59"/>
      <c r="EB23" s="59"/>
      <c r="EC23" s="59"/>
      <c r="ED23" s="59"/>
      <c r="EE23" s="59"/>
      <c r="EF23" s="59"/>
      <c r="EG23" s="59"/>
      <c r="EH23" s="59"/>
      <c r="EI23" s="59"/>
      <c r="EJ23" s="59"/>
      <c r="EK23" s="59"/>
      <c r="EL23" s="59"/>
      <c r="EM23" s="51"/>
      <c r="EP23" s="52"/>
      <c r="EQ23" s="53"/>
      <c r="ER23" s="53"/>
      <c r="ES23" s="53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53"/>
      <c r="FF23" s="53"/>
      <c r="FG23" s="53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60"/>
      <c r="FS23" s="60"/>
      <c r="FT23" s="60"/>
      <c r="FU23" s="60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53"/>
      <c r="GG23" s="54"/>
      <c r="GI23" s="55"/>
      <c r="GJ23" s="56"/>
      <c r="GK23" s="56"/>
      <c r="GL23" s="56"/>
      <c r="GM23" s="56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56"/>
      <c r="GY23" s="56"/>
      <c r="GZ23" s="56"/>
      <c r="HA23" s="56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57"/>
    </row>
    <row r="24" spans="3:236" ht="3.75" customHeight="1"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C24" s="46"/>
      <c r="BD24" s="47"/>
      <c r="BE24" s="47"/>
      <c r="BF24" s="47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47"/>
      <c r="BS24" s="47"/>
      <c r="BT24" s="47"/>
      <c r="BU24" s="66">
        <f>GETPIVOTDATA("Rides",'Pivot Table 4'!$A$3)</f>
        <v>1000</v>
      </c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47"/>
      <c r="CV24" s="48"/>
      <c r="CX24" s="49"/>
      <c r="CY24" s="50"/>
      <c r="CZ24" s="50"/>
      <c r="DA24" s="50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50"/>
      <c r="DN24" s="50"/>
      <c r="DO24" s="50"/>
      <c r="DP24" s="50"/>
      <c r="DQ24" s="67">
        <f>IFERROR(GETPIVOTDATA("Rides",'Pivot Table 1'!$A$3,"ride_status","COMPLETED"),0)</f>
        <v>704</v>
      </c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51"/>
      <c r="EP24" s="52"/>
      <c r="EQ24" s="53"/>
      <c r="ER24" s="53"/>
      <c r="ES24" s="53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53"/>
      <c r="FF24" s="53"/>
      <c r="FG24" s="53"/>
      <c r="FH24" s="68">
        <f>IFERROR(GETPIVOTDATA("Rides",'Pivot Table 1'!$A$3,"ride_status","CANCELLED"),0)</f>
        <v>222</v>
      </c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53"/>
      <c r="GG24" s="54"/>
      <c r="GI24" s="55"/>
      <c r="GJ24" s="56"/>
      <c r="GK24" s="56"/>
      <c r="GL24" s="56"/>
      <c r="GM24" s="56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56"/>
      <c r="GY24" s="56"/>
      <c r="GZ24" s="56"/>
      <c r="HA24" s="56"/>
      <c r="HB24" s="69">
        <f>IFERROR(GETPIVOTDATA("Rides",'Pivot Table 1'!$A$3,"ride_status","NO_DRIVER_AVAILABLE"),0)</f>
        <v>74</v>
      </c>
      <c r="HC24" s="69"/>
      <c r="HD24" s="69"/>
      <c r="HE24" s="69"/>
      <c r="HF24" s="69"/>
      <c r="HG24" s="69"/>
      <c r="HH24" s="69"/>
      <c r="HI24" s="69"/>
      <c r="HJ24" s="69"/>
      <c r="HK24" s="69"/>
      <c r="HL24" s="69"/>
      <c r="HM24" s="69"/>
      <c r="HN24" s="69"/>
      <c r="HO24" s="69"/>
      <c r="HP24" s="69"/>
      <c r="HQ24" s="69"/>
      <c r="HR24" s="69"/>
      <c r="HS24" s="69"/>
      <c r="HT24" s="69"/>
      <c r="HU24" s="69"/>
      <c r="HV24" s="69"/>
      <c r="HW24" s="69"/>
      <c r="HX24" s="69"/>
      <c r="HY24" s="69"/>
      <c r="HZ24" s="69"/>
      <c r="IA24" s="69"/>
      <c r="IB24" s="57"/>
    </row>
    <row r="25" spans="3:236" ht="3.75" customHeight="1"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C25" s="46"/>
      <c r="BD25" s="47"/>
      <c r="BE25" s="47"/>
      <c r="BF25" s="47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47"/>
      <c r="BS25" s="47"/>
      <c r="BT25" s="47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47"/>
      <c r="CV25" s="48"/>
      <c r="CX25" s="49"/>
      <c r="CY25" s="50"/>
      <c r="CZ25" s="50"/>
      <c r="DA25" s="50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50"/>
      <c r="DN25" s="50"/>
      <c r="DO25" s="50"/>
      <c r="DP25" s="50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51"/>
      <c r="EP25" s="52"/>
      <c r="EQ25" s="53"/>
      <c r="ER25" s="53"/>
      <c r="ES25" s="53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53"/>
      <c r="FF25" s="53"/>
      <c r="FG25" s="53"/>
      <c r="FH25" s="68"/>
      <c r="FI25" s="68"/>
      <c r="FJ25" s="68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68"/>
      <c r="FX25" s="68"/>
      <c r="FY25" s="68"/>
      <c r="FZ25" s="68"/>
      <c r="GA25" s="68"/>
      <c r="GB25" s="68"/>
      <c r="GC25" s="68"/>
      <c r="GD25" s="68"/>
      <c r="GE25" s="68"/>
      <c r="GF25" s="53"/>
      <c r="GG25" s="54"/>
      <c r="GI25" s="55"/>
      <c r="GJ25" s="56"/>
      <c r="GK25" s="56"/>
      <c r="GL25" s="56"/>
      <c r="GM25" s="56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56"/>
      <c r="GY25" s="56"/>
      <c r="GZ25" s="56"/>
      <c r="HA25" s="56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L25" s="69"/>
      <c r="HM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57"/>
    </row>
    <row r="26" spans="3:236" ht="3.75" customHeight="1">
      <c r="C26" s="7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2"/>
      <c r="BC26" s="46"/>
      <c r="BD26" s="47"/>
      <c r="BE26" s="47"/>
      <c r="BF26" s="47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47"/>
      <c r="BS26" s="47"/>
      <c r="BT26" s="47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47"/>
      <c r="CV26" s="48"/>
      <c r="CX26" s="49"/>
      <c r="CY26" s="50"/>
      <c r="CZ26" s="50"/>
      <c r="DA26" s="50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50"/>
      <c r="DN26" s="50"/>
      <c r="DO26" s="50"/>
      <c r="DP26" s="50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51"/>
      <c r="EP26" s="52"/>
      <c r="EQ26" s="53"/>
      <c r="ER26" s="53"/>
      <c r="ES26" s="53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53"/>
      <c r="FF26" s="53"/>
      <c r="FG26" s="53"/>
      <c r="FH26" s="68"/>
      <c r="FI26" s="68"/>
      <c r="FJ26" s="68"/>
      <c r="FK26" s="68"/>
      <c r="FL26" s="68"/>
      <c r="FM26" s="68"/>
      <c r="FN26" s="68"/>
      <c r="FO26" s="68"/>
      <c r="FP26" s="68"/>
      <c r="FQ26" s="68"/>
      <c r="FR26" s="68"/>
      <c r="FS26" s="68"/>
      <c r="FT26" s="68"/>
      <c r="FU26" s="68"/>
      <c r="FV26" s="68"/>
      <c r="FW26" s="68"/>
      <c r="FX26" s="68"/>
      <c r="FY26" s="68"/>
      <c r="FZ26" s="68"/>
      <c r="GA26" s="68"/>
      <c r="GB26" s="68"/>
      <c r="GC26" s="68"/>
      <c r="GD26" s="68"/>
      <c r="GE26" s="68"/>
      <c r="GF26" s="53"/>
      <c r="GG26" s="54"/>
      <c r="GI26" s="55"/>
      <c r="GJ26" s="56"/>
      <c r="GK26" s="56"/>
      <c r="GL26" s="56"/>
      <c r="GM26" s="56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56"/>
      <c r="GY26" s="56"/>
      <c r="GZ26" s="56"/>
      <c r="HA26" s="56"/>
      <c r="HB26" s="69"/>
      <c r="HC26" s="69"/>
      <c r="HD26" s="69"/>
      <c r="HE26" s="69"/>
      <c r="HF26" s="69"/>
      <c r="HG26" s="69"/>
      <c r="HH26" s="69"/>
      <c r="HI26" s="69"/>
      <c r="HJ26" s="69"/>
      <c r="HK26" s="69"/>
      <c r="HL26" s="69"/>
      <c r="HM26" s="69"/>
      <c r="HN26" s="69"/>
      <c r="HO26" s="69"/>
      <c r="HP26" s="69"/>
      <c r="HQ26" s="69"/>
      <c r="HR26" s="69"/>
      <c r="HS26" s="69"/>
      <c r="HT26" s="69"/>
      <c r="HU26" s="69"/>
      <c r="HV26" s="69"/>
      <c r="HW26" s="69"/>
      <c r="HX26" s="69"/>
      <c r="HY26" s="69"/>
      <c r="HZ26" s="69"/>
      <c r="IA26" s="69"/>
      <c r="IB26" s="57"/>
    </row>
    <row r="27" spans="3:236" ht="3.75" customHeight="1"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5"/>
      <c r="BC27" s="46"/>
      <c r="BD27" s="47"/>
      <c r="BE27" s="47"/>
      <c r="BF27" s="47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47"/>
      <c r="BS27" s="47"/>
      <c r="BT27" s="47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47"/>
      <c r="CV27" s="48"/>
      <c r="CX27" s="49"/>
      <c r="CY27" s="50"/>
      <c r="CZ27" s="50"/>
      <c r="DA27" s="50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50"/>
      <c r="DN27" s="50"/>
      <c r="DO27" s="50"/>
      <c r="DP27" s="50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51"/>
      <c r="EP27" s="52"/>
      <c r="EQ27" s="53"/>
      <c r="ER27" s="53"/>
      <c r="ES27" s="53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53"/>
      <c r="FF27" s="53"/>
      <c r="FG27" s="53"/>
      <c r="FH27" s="68"/>
      <c r="FI27" s="68"/>
      <c r="FJ27" s="68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68"/>
      <c r="FX27" s="68"/>
      <c r="FY27" s="68"/>
      <c r="FZ27" s="68"/>
      <c r="GA27" s="68"/>
      <c r="GB27" s="68"/>
      <c r="GC27" s="68"/>
      <c r="GD27" s="68"/>
      <c r="GE27" s="68"/>
      <c r="GF27" s="53"/>
      <c r="GG27" s="54"/>
      <c r="GI27" s="55"/>
      <c r="GJ27" s="56"/>
      <c r="GK27" s="56"/>
      <c r="GL27" s="56"/>
      <c r="GM27" s="56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56"/>
      <c r="GY27" s="56"/>
      <c r="GZ27" s="56"/>
      <c r="HA27" s="56"/>
      <c r="HB27" s="69"/>
      <c r="HC27" s="69"/>
      <c r="HD27" s="69"/>
      <c r="HE27" s="69"/>
      <c r="HF27" s="69"/>
      <c r="HG27" s="69"/>
      <c r="HH27" s="69"/>
      <c r="HI27" s="69"/>
      <c r="HJ27" s="69"/>
      <c r="HK27" s="69"/>
      <c r="HL27" s="69"/>
      <c r="HM27" s="69"/>
      <c r="HN27" s="69"/>
      <c r="HO27" s="69"/>
      <c r="HP27" s="69"/>
      <c r="HQ27" s="69"/>
      <c r="HR27" s="69"/>
      <c r="HS27" s="69"/>
      <c r="HT27" s="69"/>
      <c r="HU27" s="69"/>
      <c r="HV27" s="69"/>
      <c r="HW27" s="69"/>
      <c r="HX27" s="69"/>
      <c r="HY27" s="69"/>
      <c r="HZ27" s="69"/>
      <c r="IA27" s="69"/>
      <c r="IB27" s="57"/>
    </row>
    <row r="28" spans="3:236" ht="3.75" customHeight="1">
      <c r="C28" s="73"/>
      <c r="D28" s="74"/>
      <c r="E28" s="76" t="s">
        <v>1054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C28" s="46"/>
      <c r="BD28" s="47"/>
      <c r="BE28" s="47"/>
      <c r="BF28" s="47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47"/>
      <c r="BS28" s="47"/>
      <c r="BT28" s="47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47"/>
      <c r="CV28" s="48"/>
      <c r="CX28" s="49"/>
      <c r="CY28" s="50"/>
      <c r="CZ28" s="50"/>
      <c r="DA28" s="50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50"/>
      <c r="DN28" s="50"/>
      <c r="DO28" s="50"/>
      <c r="DP28" s="50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51"/>
      <c r="EP28" s="52"/>
      <c r="EQ28" s="53"/>
      <c r="ER28" s="53"/>
      <c r="ES28" s="53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53"/>
      <c r="FF28" s="53"/>
      <c r="FG28" s="53"/>
      <c r="FH28" s="68"/>
      <c r="FI28" s="68"/>
      <c r="FJ28" s="68"/>
      <c r="FK28" s="68"/>
      <c r="FL28" s="68"/>
      <c r="FM28" s="68"/>
      <c r="FN28" s="68"/>
      <c r="FO28" s="68"/>
      <c r="FP28" s="68"/>
      <c r="FQ28" s="68"/>
      <c r="FR28" s="68"/>
      <c r="FS28" s="68"/>
      <c r="FT28" s="68"/>
      <c r="FU28" s="68"/>
      <c r="FV28" s="68"/>
      <c r="FW28" s="68"/>
      <c r="FX28" s="68"/>
      <c r="FY28" s="68"/>
      <c r="FZ28" s="68"/>
      <c r="GA28" s="68"/>
      <c r="GB28" s="68"/>
      <c r="GC28" s="68"/>
      <c r="GD28" s="68"/>
      <c r="GE28" s="68"/>
      <c r="GF28" s="53"/>
      <c r="GG28" s="54"/>
      <c r="GI28" s="55"/>
      <c r="GJ28" s="56"/>
      <c r="GK28" s="56"/>
      <c r="GL28" s="56"/>
      <c r="GM28" s="56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56"/>
      <c r="GY28" s="56"/>
      <c r="GZ28" s="56"/>
      <c r="HA28" s="56"/>
      <c r="HB28" s="69"/>
      <c r="HC28" s="69"/>
      <c r="HD28" s="69"/>
      <c r="HE28" s="69"/>
      <c r="HF28" s="69"/>
      <c r="HG28" s="69"/>
      <c r="HH28" s="69"/>
      <c r="HI28" s="69"/>
      <c r="HJ28" s="69"/>
      <c r="HK28" s="69"/>
      <c r="HL28" s="69"/>
      <c r="HM28" s="69"/>
      <c r="HN28" s="69"/>
      <c r="HO28" s="69"/>
      <c r="HP28" s="69"/>
      <c r="HQ28" s="69"/>
      <c r="HR28" s="69"/>
      <c r="HS28" s="69"/>
      <c r="HT28" s="69"/>
      <c r="HU28" s="69"/>
      <c r="HV28" s="69"/>
      <c r="HW28" s="69"/>
      <c r="HX28" s="69"/>
      <c r="HY28" s="69"/>
      <c r="HZ28" s="69"/>
      <c r="IA28" s="69"/>
      <c r="IB28" s="57"/>
    </row>
    <row r="29" spans="3:236" ht="3.75" customHeight="1">
      <c r="C29" s="73"/>
      <c r="D29" s="74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C29" s="46"/>
      <c r="BD29" s="47"/>
      <c r="BE29" s="47"/>
      <c r="BF29" s="47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47"/>
      <c r="BS29" s="47"/>
      <c r="BT29" s="47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47"/>
      <c r="CV29" s="48"/>
      <c r="CX29" s="49"/>
      <c r="CY29" s="50"/>
      <c r="CZ29" s="50"/>
      <c r="DA29" s="50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50"/>
      <c r="DN29" s="50"/>
      <c r="DO29" s="50"/>
      <c r="DP29" s="50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51"/>
      <c r="EP29" s="52"/>
      <c r="EQ29" s="53"/>
      <c r="ER29" s="53"/>
      <c r="ES29" s="53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53"/>
      <c r="FF29" s="53"/>
      <c r="FG29" s="53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53"/>
      <c r="GG29" s="54"/>
      <c r="GI29" s="55"/>
      <c r="GJ29" s="56"/>
      <c r="GK29" s="56"/>
      <c r="GL29" s="56"/>
      <c r="GM29" s="56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56"/>
      <c r="GY29" s="56"/>
      <c r="GZ29" s="56"/>
      <c r="HA29" s="56"/>
      <c r="HB29" s="69"/>
      <c r="HC29" s="69"/>
      <c r="HD29" s="69"/>
      <c r="HE29" s="69"/>
      <c r="HF29" s="69"/>
      <c r="HG29" s="69"/>
      <c r="HH29" s="69"/>
      <c r="HI29" s="69"/>
      <c r="HJ29" s="69"/>
      <c r="HK29" s="69"/>
      <c r="HL29" s="69"/>
      <c r="HM29" s="69"/>
      <c r="HN29" s="69"/>
      <c r="HO29" s="69"/>
      <c r="HP29" s="69"/>
      <c r="HQ29" s="69"/>
      <c r="HR29" s="69"/>
      <c r="HS29" s="69"/>
      <c r="HT29" s="69"/>
      <c r="HU29" s="69"/>
      <c r="HV29" s="69"/>
      <c r="HW29" s="69"/>
      <c r="HX29" s="69"/>
      <c r="HY29" s="69"/>
      <c r="HZ29" s="69"/>
      <c r="IA29" s="69"/>
      <c r="IB29" s="57"/>
    </row>
    <row r="30" spans="3:236" ht="3.75" customHeight="1">
      <c r="C30" s="73"/>
      <c r="D30" s="74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C30" s="46"/>
      <c r="BD30" s="47"/>
      <c r="BE30" s="47"/>
      <c r="BF30" s="47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47"/>
      <c r="BS30" s="47"/>
      <c r="BT30" s="47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47"/>
      <c r="CV30" s="48"/>
      <c r="CX30" s="49"/>
      <c r="CY30" s="50"/>
      <c r="CZ30" s="50"/>
      <c r="DA30" s="50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50"/>
      <c r="DN30" s="50"/>
      <c r="DO30" s="50"/>
      <c r="DP30" s="50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51"/>
      <c r="EP30" s="52"/>
      <c r="EQ30" s="53"/>
      <c r="ER30" s="53"/>
      <c r="ES30" s="53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53"/>
      <c r="FF30" s="53"/>
      <c r="FG30" s="53"/>
      <c r="FH30" s="68"/>
      <c r="FI30" s="68"/>
      <c r="FJ30" s="68"/>
      <c r="FK30" s="68"/>
      <c r="FL30" s="68"/>
      <c r="FM30" s="68"/>
      <c r="FN30" s="68"/>
      <c r="FO30" s="68"/>
      <c r="FP30" s="68"/>
      <c r="FQ30" s="68"/>
      <c r="FR30" s="68"/>
      <c r="FS30" s="68"/>
      <c r="FT30" s="68"/>
      <c r="FU30" s="68"/>
      <c r="FV30" s="68"/>
      <c r="FW30" s="68"/>
      <c r="FX30" s="68"/>
      <c r="FY30" s="68"/>
      <c r="FZ30" s="68"/>
      <c r="GA30" s="68"/>
      <c r="GB30" s="68"/>
      <c r="GC30" s="68"/>
      <c r="GD30" s="68"/>
      <c r="GE30" s="68"/>
      <c r="GF30" s="53"/>
      <c r="GG30" s="54"/>
      <c r="GI30" s="55"/>
      <c r="GJ30" s="56"/>
      <c r="GK30" s="56"/>
      <c r="GL30" s="56"/>
      <c r="GM30" s="56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56"/>
      <c r="GY30" s="56"/>
      <c r="GZ30" s="56"/>
      <c r="HA30" s="56"/>
      <c r="HB30" s="69"/>
      <c r="HC30" s="69"/>
      <c r="HD30" s="69"/>
      <c r="HE30" s="69"/>
      <c r="HF30" s="69"/>
      <c r="HG30" s="69"/>
      <c r="HH30" s="69"/>
      <c r="HI30" s="69"/>
      <c r="HJ30" s="69"/>
      <c r="HK30" s="69"/>
      <c r="HL30" s="69"/>
      <c r="HM30" s="69"/>
      <c r="HN30" s="69"/>
      <c r="HO30" s="69"/>
      <c r="HP30" s="69"/>
      <c r="HQ30" s="69"/>
      <c r="HR30" s="69"/>
      <c r="HS30" s="69"/>
      <c r="HT30" s="69"/>
      <c r="HU30" s="69"/>
      <c r="HV30" s="69"/>
      <c r="HW30" s="69"/>
      <c r="HX30" s="69"/>
      <c r="HY30" s="69"/>
      <c r="HZ30" s="69"/>
      <c r="IA30" s="69"/>
      <c r="IB30" s="57"/>
    </row>
    <row r="31" spans="3:236" ht="3.75" customHeight="1">
      <c r="C31" s="73"/>
      <c r="D31" s="74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C31" s="46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47"/>
      <c r="CV31" s="48"/>
      <c r="CX31" s="49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51"/>
      <c r="EP31" s="52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53"/>
      <c r="GG31" s="54"/>
      <c r="GI31" s="55"/>
      <c r="GJ31" s="56"/>
      <c r="GK31" s="56"/>
      <c r="GL31" s="56"/>
      <c r="GM31" s="56"/>
      <c r="GN31" s="56"/>
      <c r="GO31" s="56"/>
      <c r="GP31" s="56"/>
      <c r="GQ31" s="56"/>
      <c r="GR31" s="56"/>
      <c r="GS31" s="56"/>
      <c r="GT31" s="56"/>
      <c r="GU31" s="56"/>
      <c r="GV31" s="56"/>
      <c r="GW31" s="56"/>
      <c r="GX31" s="56"/>
      <c r="GY31" s="56"/>
      <c r="GZ31" s="56"/>
      <c r="HA31" s="56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9"/>
      <c r="IA31" s="69"/>
      <c r="IB31" s="57"/>
    </row>
    <row r="32" spans="3:236" ht="3.75" customHeight="1">
      <c r="C32" s="73"/>
      <c r="D32" s="74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C32" s="46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8"/>
      <c r="CX32" s="49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1"/>
      <c r="EP32" s="52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4"/>
      <c r="GI32" s="55"/>
      <c r="GJ32" s="56"/>
      <c r="GK32" s="56"/>
      <c r="GL32" s="56"/>
      <c r="GM32" s="56"/>
      <c r="GN32" s="56"/>
      <c r="GO32" s="56"/>
      <c r="GP32" s="56"/>
      <c r="GQ32" s="56"/>
      <c r="GR32" s="56"/>
      <c r="GS32" s="56"/>
      <c r="GT32" s="56"/>
      <c r="GU32" s="56"/>
      <c r="GV32" s="56"/>
      <c r="GW32" s="56"/>
      <c r="GX32" s="56"/>
      <c r="GY32" s="56"/>
      <c r="GZ32" s="56"/>
      <c r="HA32" s="56"/>
      <c r="HB32" s="56"/>
      <c r="HC32" s="56"/>
      <c r="HD32" s="56"/>
      <c r="HE32" s="56"/>
      <c r="HF32" s="56"/>
      <c r="HG32" s="56"/>
      <c r="HH32" s="56"/>
      <c r="HI32" s="56"/>
      <c r="HJ32" s="56"/>
      <c r="HK32" s="56"/>
      <c r="HL32" s="56"/>
      <c r="HM32" s="56"/>
      <c r="HN32" s="56"/>
      <c r="HO32" s="56"/>
      <c r="HP32" s="56"/>
      <c r="HQ32" s="56"/>
      <c r="HR32" s="56"/>
      <c r="HS32" s="56"/>
      <c r="HT32" s="56"/>
      <c r="HU32" s="56"/>
      <c r="HV32" s="56"/>
      <c r="HW32" s="56"/>
      <c r="HX32" s="56"/>
      <c r="HY32" s="56"/>
      <c r="HZ32" s="56"/>
      <c r="IA32" s="56"/>
      <c r="IB32" s="57"/>
    </row>
    <row r="33" spans="3:236" ht="3.75" customHeight="1">
      <c r="C33" s="73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5"/>
      <c r="BC33" s="77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9"/>
      <c r="CX33" s="80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2"/>
      <c r="EP33" s="83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5"/>
      <c r="GI33" s="86"/>
      <c r="GJ33" s="87"/>
      <c r="GK33" s="87"/>
      <c r="GL33" s="87"/>
      <c r="GM33" s="87"/>
      <c r="GN33" s="87"/>
      <c r="GO33" s="87"/>
      <c r="GP33" s="87"/>
      <c r="GQ33" s="87"/>
      <c r="GR33" s="87"/>
      <c r="GS33" s="87"/>
      <c r="GT33" s="87"/>
      <c r="GU33" s="87"/>
      <c r="GV33" s="87"/>
      <c r="GW33" s="87"/>
      <c r="GX33" s="87"/>
      <c r="GY33" s="87"/>
      <c r="GZ33" s="87"/>
      <c r="HA33" s="87"/>
      <c r="HB33" s="87"/>
      <c r="HC33" s="87"/>
      <c r="HD33" s="87"/>
      <c r="HE33" s="87"/>
      <c r="HF33" s="87"/>
      <c r="HG33" s="87"/>
      <c r="HH33" s="87"/>
      <c r="HI33" s="87"/>
      <c r="HJ33" s="87"/>
      <c r="HK33" s="87"/>
      <c r="HL33" s="87"/>
      <c r="HM33" s="87"/>
      <c r="HN33" s="87"/>
      <c r="HO33" s="87"/>
      <c r="HP33" s="87"/>
      <c r="HQ33" s="87"/>
      <c r="HR33" s="87"/>
      <c r="HS33" s="87"/>
      <c r="HT33" s="87"/>
      <c r="HU33" s="87"/>
      <c r="HV33" s="87"/>
      <c r="HW33" s="87"/>
      <c r="HX33" s="87"/>
      <c r="HY33" s="87"/>
      <c r="HZ33" s="87"/>
      <c r="IA33" s="87"/>
      <c r="IB33" s="88"/>
    </row>
    <row r="34" spans="3:236" ht="3.75" customHeight="1">
      <c r="C34" s="73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5"/>
    </row>
    <row r="35" spans="3:236" ht="3.75" customHeight="1">
      <c r="C35" s="73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5"/>
      <c r="BC35" s="89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  <c r="DL35" s="90"/>
      <c r="DM35" s="90"/>
      <c r="DN35" s="90"/>
      <c r="DO35" s="90"/>
      <c r="DP35" s="90"/>
      <c r="DQ35" s="90"/>
      <c r="DR35" s="90"/>
      <c r="DS35" s="90"/>
      <c r="DT35" s="90"/>
      <c r="DU35" s="90"/>
      <c r="DV35" s="90"/>
      <c r="DW35" s="90"/>
      <c r="DX35" s="90"/>
      <c r="DY35" s="90"/>
      <c r="DZ35" s="90"/>
      <c r="EA35" s="90"/>
      <c r="EB35" s="90"/>
      <c r="EC35" s="90"/>
      <c r="ED35" s="90"/>
      <c r="EE35" s="90"/>
      <c r="EF35" s="90"/>
      <c r="EG35" s="90"/>
      <c r="EH35" s="90"/>
      <c r="EI35" s="90"/>
      <c r="EJ35" s="90"/>
      <c r="EK35" s="90"/>
      <c r="EL35" s="90"/>
      <c r="EM35" s="90"/>
      <c r="EN35" s="90"/>
      <c r="EO35" s="90"/>
      <c r="EP35" s="90"/>
      <c r="EQ35" s="91"/>
      <c r="ET35" s="92"/>
      <c r="EU35" s="93"/>
      <c r="EV35" s="93"/>
      <c r="EW35" s="93"/>
      <c r="EX35" s="93"/>
      <c r="EY35" s="93"/>
      <c r="EZ35" s="93"/>
      <c r="FA35" s="93"/>
      <c r="FB35" s="93"/>
      <c r="FC35" s="93"/>
      <c r="FD35" s="93"/>
      <c r="FE35" s="93"/>
      <c r="FF35" s="93"/>
      <c r="FG35" s="93"/>
      <c r="FH35" s="93"/>
      <c r="FI35" s="93"/>
      <c r="FJ35" s="93"/>
      <c r="FK35" s="93"/>
      <c r="FL35" s="93"/>
      <c r="FM35" s="93"/>
      <c r="FN35" s="93"/>
      <c r="FO35" s="93"/>
      <c r="FP35" s="93"/>
      <c r="FQ35" s="93"/>
      <c r="FR35" s="93"/>
      <c r="FS35" s="93"/>
      <c r="FT35" s="93"/>
      <c r="FU35" s="93"/>
      <c r="FV35" s="93"/>
      <c r="FW35" s="93"/>
      <c r="FX35" s="93"/>
      <c r="FY35" s="93"/>
      <c r="FZ35" s="93"/>
      <c r="GA35" s="93"/>
      <c r="GB35" s="93"/>
      <c r="GC35" s="93"/>
      <c r="GD35" s="93"/>
      <c r="GE35" s="93"/>
      <c r="GF35" s="93"/>
      <c r="GG35" s="93"/>
      <c r="GH35" s="93"/>
      <c r="GI35" s="93"/>
      <c r="GJ35" s="93"/>
      <c r="GK35" s="93"/>
      <c r="GL35" s="93"/>
      <c r="GM35" s="93"/>
      <c r="GN35" s="93"/>
      <c r="GO35" s="93"/>
      <c r="GP35" s="93"/>
      <c r="GQ35" s="93"/>
      <c r="GR35" s="93"/>
      <c r="GS35" s="93"/>
      <c r="GT35" s="93"/>
      <c r="GU35" s="93"/>
      <c r="GV35" s="93"/>
      <c r="GW35" s="93"/>
      <c r="GX35" s="93"/>
      <c r="GY35" s="93"/>
      <c r="GZ35" s="93"/>
      <c r="HA35" s="93"/>
      <c r="HB35" s="93"/>
      <c r="HC35" s="93"/>
      <c r="HD35" s="93"/>
      <c r="HE35" s="93"/>
      <c r="HF35" s="93"/>
      <c r="HG35" s="93"/>
      <c r="HH35" s="93"/>
      <c r="HI35" s="93"/>
      <c r="HJ35" s="93"/>
      <c r="HK35" s="93"/>
      <c r="HL35" s="93"/>
      <c r="HM35" s="93"/>
      <c r="HN35" s="93"/>
      <c r="HO35" s="93"/>
      <c r="HP35" s="93"/>
      <c r="HQ35" s="93"/>
      <c r="HR35" s="93"/>
      <c r="HS35" s="93"/>
      <c r="HT35" s="93"/>
      <c r="HU35" s="93"/>
      <c r="HV35" s="93"/>
      <c r="HW35" s="93"/>
      <c r="HX35" s="93"/>
      <c r="HY35" s="93"/>
      <c r="HZ35" s="93"/>
      <c r="IA35" s="93"/>
      <c r="IB35" s="94"/>
    </row>
    <row r="36" spans="3:236" ht="3.75" customHeight="1">
      <c r="C36" s="73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5"/>
      <c r="BC36" s="95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7"/>
      <c r="ET36" s="98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 s="99"/>
      <c r="GL36" s="99"/>
      <c r="GM36" s="99"/>
      <c r="GN36" s="99"/>
      <c r="GO36" s="99"/>
      <c r="GP36" s="99"/>
      <c r="GQ36" s="99"/>
      <c r="GR36" s="99"/>
      <c r="GS36" s="99"/>
      <c r="GT36" s="99"/>
      <c r="GU36" s="99"/>
      <c r="GV36" s="99"/>
      <c r="GW36" s="99"/>
      <c r="GX36" s="99"/>
      <c r="GY36" s="99"/>
      <c r="GZ36" s="99"/>
      <c r="HA36" s="99"/>
      <c r="HB36" s="99"/>
      <c r="HC36" s="99"/>
      <c r="HD36" s="99"/>
      <c r="HE36" s="99"/>
      <c r="HF36" s="99"/>
      <c r="HG36" s="99"/>
      <c r="HH36" s="99"/>
      <c r="HI36" s="99"/>
      <c r="HJ36" s="99"/>
      <c r="HK36" s="99"/>
      <c r="HL36" s="99"/>
      <c r="HM36" s="99"/>
      <c r="HN36" s="99"/>
      <c r="HO36" s="99"/>
      <c r="HP36" s="99"/>
      <c r="HQ36" s="99"/>
      <c r="HR36" s="99"/>
      <c r="HS36" s="99"/>
      <c r="HT36" s="99"/>
      <c r="HU36" s="99"/>
      <c r="HV36" s="99"/>
      <c r="HW36" s="99"/>
      <c r="HX36" s="99"/>
      <c r="HY36" s="99"/>
      <c r="HZ36" s="99"/>
      <c r="IA36" s="99"/>
      <c r="IB36" s="100"/>
    </row>
    <row r="37" spans="3:236" ht="3.75" customHeight="1">
      <c r="C37" s="73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5"/>
      <c r="BC37" s="95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7"/>
      <c r="ET37" s="98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99"/>
      <c r="FI37" s="99"/>
      <c r="FJ37" s="99"/>
      <c r="FK37" s="99"/>
      <c r="FL37" s="99"/>
      <c r="FM37" s="99"/>
      <c r="FN37" s="99"/>
      <c r="FO37" s="99"/>
      <c r="FP37" s="99"/>
      <c r="FQ37" s="99"/>
      <c r="FR37" s="99"/>
      <c r="FS37" s="99"/>
      <c r="FT37" s="99"/>
      <c r="FU37" s="99"/>
      <c r="FV37" s="99"/>
      <c r="FW37" s="99"/>
      <c r="FX37" s="99"/>
      <c r="FY37" s="99"/>
      <c r="FZ37" s="99"/>
      <c r="GA37" s="99"/>
      <c r="GB37" s="99"/>
      <c r="GC37" s="99"/>
      <c r="GD37" s="99"/>
      <c r="GE37" s="99"/>
      <c r="GF37" s="99"/>
      <c r="GG37" s="99"/>
      <c r="GH37" s="99"/>
      <c r="GI37" s="99"/>
      <c r="GJ37" s="99"/>
      <c r="GK37" s="99"/>
      <c r="GL37" s="99"/>
      <c r="GM37" s="99"/>
      <c r="GN37" s="99"/>
      <c r="GO37" s="99"/>
      <c r="GP37" s="99"/>
      <c r="GQ37" s="99"/>
      <c r="GR37" s="99"/>
      <c r="GS37" s="99"/>
      <c r="GT37" s="99"/>
      <c r="GU37" s="99"/>
      <c r="GV37" s="99"/>
      <c r="GW37" s="99"/>
      <c r="GX37" s="99"/>
      <c r="GY37" s="99"/>
      <c r="GZ37" s="99"/>
      <c r="HA37" s="99"/>
      <c r="HB37" s="99"/>
      <c r="HC37" s="99"/>
      <c r="HD37" s="99"/>
      <c r="HE37" s="99"/>
      <c r="HF37" s="99"/>
      <c r="HG37" s="99"/>
      <c r="HH37" s="99"/>
      <c r="HI37" s="99"/>
      <c r="HJ37" s="99"/>
      <c r="HK37" s="99"/>
      <c r="HL37" s="99"/>
      <c r="HM37" s="99"/>
      <c r="HN37" s="99"/>
      <c r="HO37" s="99"/>
      <c r="HP37" s="99"/>
      <c r="HQ37" s="99"/>
      <c r="HR37" s="99"/>
      <c r="HS37" s="99"/>
      <c r="HT37" s="99"/>
      <c r="HU37" s="99"/>
      <c r="HV37" s="99"/>
      <c r="HW37" s="99"/>
      <c r="HX37" s="99"/>
      <c r="HY37" s="99"/>
      <c r="HZ37" s="99"/>
      <c r="IA37" s="99"/>
      <c r="IB37" s="100"/>
    </row>
    <row r="38" spans="3:236" ht="3.75" customHeight="1">
      <c r="C38" s="73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5"/>
      <c r="BC38" s="95"/>
      <c r="BD38" s="96"/>
      <c r="BE38" s="96"/>
      <c r="BF38" s="96"/>
      <c r="BG38" s="101" t="s">
        <v>1073</v>
      </c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96"/>
      <c r="BS38" s="96"/>
      <c r="BT38" s="96"/>
      <c r="BU38" s="102" t="s">
        <v>1074</v>
      </c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97"/>
      <c r="ET38" s="98"/>
      <c r="EU38" s="99"/>
      <c r="EV38" s="99"/>
      <c r="EW38" s="99"/>
      <c r="EX38" s="103" t="s">
        <v>1075</v>
      </c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99"/>
      <c r="FJ38" s="99"/>
      <c r="FK38" s="99"/>
      <c r="FL38" s="104" t="s">
        <v>1076</v>
      </c>
      <c r="FM38" s="104"/>
      <c r="FN38" s="104"/>
      <c r="FO38" s="104"/>
      <c r="FP38" s="104"/>
      <c r="FQ38" s="104"/>
      <c r="FR38" s="104"/>
      <c r="FS38" s="104"/>
      <c r="FT38" s="104"/>
      <c r="FU38" s="104"/>
      <c r="FV38" s="104"/>
      <c r="FW38" s="104"/>
      <c r="FX38" s="104"/>
      <c r="FY38" s="104"/>
      <c r="FZ38" s="104"/>
      <c r="GA38" s="104"/>
      <c r="GB38" s="104"/>
      <c r="GC38" s="104"/>
      <c r="GD38" s="104"/>
      <c r="GE38" s="104"/>
      <c r="GF38" s="104"/>
      <c r="GG38" s="104"/>
      <c r="GH38" s="104"/>
      <c r="GI38" s="104"/>
      <c r="GJ38" s="104"/>
      <c r="GK38" s="104"/>
      <c r="GL38" s="104"/>
      <c r="GM38" s="10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104"/>
      <c r="HR38" s="104"/>
      <c r="HS38" s="104"/>
      <c r="HT38" s="104"/>
      <c r="HU38" s="104"/>
      <c r="HV38" s="104"/>
      <c r="HW38" s="104"/>
      <c r="HX38" s="104"/>
      <c r="HY38" s="104"/>
      <c r="HZ38" s="104"/>
      <c r="IA38" s="104"/>
      <c r="IB38" s="100"/>
    </row>
    <row r="39" spans="3:236" ht="3.75" customHeight="1">
      <c r="C39" s="73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5"/>
      <c r="BC39" s="95"/>
      <c r="BD39" s="96"/>
      <c r="BE39" s="96"/>
      <c r="BF39" s="96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96"/>
      <c r="BS39" s="96"/>
      <c r="BT39" s="96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97"/>
      <c r="ET39" s="98"/>
      <c r="EU39" s="99"/>
      <c r="EV39" s="99"/>
      <c r="EW39" s="99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99"/>
      <c r="FJ39" s="99"/>
      <c r="FK39" s="99"/>
      <c r="FL39" s="104"/>
      <c r="FM39" s="104"/>
      <c r="FN39" s="104"/>
      <c r="FO39" s="104"/>
      <c r="FP39" s="104"/>
      <c r="FQ39" s="104"/>
      <c r="FR39" s="104"/>
      <c r="FS39" s="104"/>
      <c r="FT39" s="104"/>
      <c r="FU39" s="104"/>
      <c r="FV39" s="104"/>
      <c r="FW39" s="104"/>
      <c r="FX39" s="104"/>
      <c r="FY39" s="104"/>
      <c r="FZ39" s="104"/>
      <c r="GA39" s="104"/>
      <c r="GB39" s="104"/>
      <c r="GC39" s="104"/>
      <c r="GD39" s="104"/>
      <c r="GE39" s="104"/>
      <c r="GF39" s="104"/>
      <c r="GG39" s="104"/>
      <c r="GH39" s="104"/>
      <c r="GI39" s="104"/>
      <c r="GJ39" s="104"/>
      <c r="GK39" s="104"/>
      <c r="GL39" s="104"/>
      <c r="GM39" s="10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104"/>
      <c r="HR39" s="104"/>
      <c r="HS39" s="104"/>
      <c r="HT39" s="104"/>
      <c r="HU39" s="104"/>
      <c r="HV39" s="104"/>
      <c r="HW39" s="104"/>
      <c r="HX39" s="104"/>
      <c r="HY39" s="104"/>
      <c r="HZ39" s="104"/>
      <c r="IA39" s="104"/>
      <c r="IB39" s="100"/>
    </row>
    <row r="40" spans="3:236" ht="3.75" customHeight="1">
      <c r="C40" s="73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5"/>
      <c r="BC40" s="95"/>
      <c r="BD40" s="96"/>
      <c r="BE40" s="96"/>
      <c r="BF40" s="96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96"/>
      <c r="BS40" s="96"/>
      <c r="BT40" s="96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97"/>
      <c r="ET40" s="98"/>
      <c r="EU40" s="99"/>
      <c r="EV40" s="99"/>
      <c r="EW40" s="99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99"/>
      <c r="FJ40" s="99"/>
      <c r="FK40" s="99"/>
      <c r="FL40" s="104"/>
      <c r="FM40" s="104"/>
      <c r="FN40" s="104"/>
      <c r="FO40" s="104"/>
      <c r="FP40" s="104"/>
      <c r="FQ40" s="104"/>
      <c r="FR40" s="104"/>
      <c r="FS40" s="104"/>
      <c r="FT40" s="104"/>
      <c r="FU40" s="104"/>
      <c r="FV40" s="104"/>
      <c r="FW40" s="104"/>
      <c r="FX40" s="104"/>
      <c r="FY40" s="104"/>
      <c r="FZ40" s="104"/>
      <c r="GA40" s="104"/>
      <c r="GB40" s="104"/>
      <c r="GC40" s="104"/>
      <c r="GD40" s="104"/>
      <c r="GE40" s="104"/>
      <c r="GF40" s="104"/>
      <c r="GG40" s="104"/>
      <c r="GH40" s="104"/>
      <c r="GI40" s="104"/>
      <c r="GJ40" s="104"/>
      <c r="GK40" s="104"/>
      <c r="GL40" s="104"/>
      <c r="GM40" s="104"/>
      <c r="GN40" s="104"/>
      <c r="GO40" s="104"/>
      <c r="GP40" s="104"/>
      <c r="GQ40" s="104"/>
      <c r="GR40" s="104"/>
      <c r="GS40" s="104"/>
      <c r="GT40" s="104"/>
      <c r="GU40" s="104"/>
      <c r="GV40" s="104"/>
      <c r="GW40" s="104"/>
      <c r="GX40" s="104"/>
      <c r="GY40" s="104"/>
      <c r="GZ40" s="104"/>
      <c r="HA40" s="104"/>
      <c r="HB40" s="104"/>
      <c r="HC40" s="104"/>
      <c r="HD40" s="104"/>
      <c r="HE40" s="104"/>
      <c r="HF40" s="104"/>
      <c r="HG40" s="104"/>
      <c r="HH40" s="104"/>
      <c r="HI40" s="104"/>
      <c r="HJ40" s="104"/>
      <c r="HK40" s="104"/>
      <c r="HL40" s="104"/>
      <c r="HM40" s="104"/>
      <c r="HN40" s="104"/>
      <c r="HO40" s="104"/>
      <c r="HP40" s="104"/>
      <c r="HQ40" s="104"/>
      <c r="HR40" s="104"/>
      <c r="HS40" s="104"/>
      <c r="HT40" s="104"/>
      <c r="HU40" s="104"/>
      <c r="HV40" s="104"/>
      <c r="HW40" s="104"/>
      <c r="HX40" s="104"/>
      <c r="HY40" s="104"/>
      <c r="HZ40" s="104"/>
      <c r="IA40" s="104"/>
      <c r="IB40" s="100"/>
    </row>
    <row r="41" spans="3:236" ht="3.75" customHeight="1">
      <c r="C41" s="73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5"/>
      <c r="BC41" s="95"/>
      <c r="BD41" s="96"/>
      <c r="BE41" s="96"/>
      <c r="BF41" s="96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96"/>
      <c r="BS41" s="96"/>
      <c r="BT41" s="96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97"/>
      <c r="ET41" s="98"/>
      <c r="EU41" s="99"/>
      <c r="EV41" s="99"/>
      <c r="EW41" s="99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99"/>
      <c r="FJ41" s="99"/>
      <c r="FK41" s="99"/>
      <c r="FL41" s="104"/>
      <c r="FM41" s="104"/>
      <c r="FN41" s="104"/>
      <c r="FO41" s="104"/>
      <c r="FP41" s="104"/>
      <c r="FQ41" s="104"/>
      <c r="FR41" s="104"/>
      <c r="FS41" s="104"/>
      <c r="FT41" s="104"/>
      <c r="FU41" s="104"/>
      <c r="FV41" s="104"/>
      <c r="FW41" s="104"/>
      <c r="FX41" s="104"/>
      <c r="FY41" s="104"/>
      <c r="FZ41" s="104"/>
      <c r="GA41" s="104"/>
      <c r="GB41" s="104"/>
      <c r="GC41" s="104"/>
      <c r="GD41" s="104"/>
      <c r="GE41" s="104"/>
      <c r="GF41" s="104"/>
      <c r="GG41" s="104"/>
      <c r="GH41" s="104"/>
      <c r="GI41" s="104"/>
      <c r="GJ41" s="104"/>
      <c r="GK41" s="104"/>
      <c r="GL41" s="104"/>
      <c r="GM41" s="104"/>
      <c r="GN41" s="104"/>
      <c r="GO41" s="104"/>
      <c r="GP41" s="104"/>
      <c r="GQ41" s="104"/>
      <c r="GR41" s="104"/>
      <c r="GS41" s="104"/>
      <c r="GT41" s="104"/>
      <c r="GU41" s="104"/>
      <c r="GV41" s="104"/>
      <c r="GW41" s="104"/>
      <c r="GX41" s="104"/>
      <c r="GY41" s="104"/>
      <c r="GZ41" s="104"/>
      <c r="HA41" s="104"/>
      <c r="HB41" s="104"/>
      <c r="HC41" s="104"/>
      <c r="HD41" s="104"/>
      <c r="HE41" s="104"/>
      <c r="HF41" s="104"/>
      <c r="HG41" s="104"/>
      <c r="HH41" s="104"/>
      <c r="HI41" s="104"/>
      <c r="HJ41" s="104"/>
      <c r="HK41" s="104"/>
      <c r="HL41" s="104"/>
      <c r="HM41" s="104"/>
      <c r="HN41" s="104"/>
      <c r="HO41" s="104"/>
      <c r="HP41" s="104"/>
      <c r="HQ41" s="104"/>
      <c r="HR41" s="104"/>
      <c r="HS41" s="104"/>
      <c r="HT41" s="104"/>
      <c r="HU41" s="104"/>
      <c r="HV41" s="104"/>
      <c r="HW41" s="104"/>
      <c r="HX41" s="104"/>
      <c r="HY41" s="104"/>
      <c r="HZ41" s="104"/>
      <c r="IA41" s="104"/>
      <c r="IB41" s="100"/>
    </row>
    <row r="42" spans="3:236" ht="3.75" customHeight="1">
      <c r="C42" s="73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5"/>
      <c r="BC42" s="95"/>
      <c r="BD42" s="96"/>
      <c r="BE42" s="96"/>
      <c r="BF42" s="96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96"/>
      <c r="BS42" s="96"/>
      <c r="BT42" s="96"/>
      <c r="BU42" s="105">
        <f>IFERROR(GETPIVOTDATA("Total Revenue",'Pivot Table 4'!$A$3),0)</f>
        <v>1059364.75</v>
      </c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97"/>
      <c r="ET42" s="98"/>
      <c r="EU42" s="99"/>
      <c r="EV42" s="99"/>
      <c r="EW42" s="99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99"/>
      <c r="FJ42" s="99"/>
      <c r="FK42" s="99"/>
      <c r="FL42" s="106">
        <f>IFERROR(GETPIVOTDATA("Rating Sum",'Pivot Table 4'!$A$3)/GETPIVOTDATA("Rated Rides",'Pivot Table 4'!$A$3),0)</f>
        <v>4.018215488215488</v>
      </c>
      <c r="FM42" s="106"/>
      <c r="FN42" s="106"/>
      <c r="FO42" s="106"/>
      <c r="FP42" s="106"/>
      <c r="FQ42" s="106"/>
      <c r="FR42" s="106"/>
      <c r="FS42" s="106"/>
      <c r="FT42" s="106"/>
      <c r="FU42" s="106"/>
      <c r="FV42" s="106"/>
      <c r="FW42" s="106"/>
      <c r="FX42" s="106"/>
      <c r="FY42" s="106"/>
      <c r="FZ42" s="106"/>
      <c r="GA42" s="106"/>
      <c r="GB42" s="106"/>
      <c r="GC42" s="106"/>
      <c r="GD42" s="106"/>
      <c r="GE42" s="106"/>
      <c r="GF42" s="106"/>
      <c r="GG42" s="106"/>
      <c r="GH42" s="106"/>
      <c r="GI42" s="106"/>
      <c r="GJ42" s="106"/>
      <c r="GK42" s="106"/>
      <c r="GL42" s="106"/>
      <c r="GM42" s="106"/>
      <c r="GN42" s="106"/>
      <c r="GO42" s="106"/>
      <c r="GP42" s="106"/>
      <c r="GQ42" s="106"/>
      <c r="GR42" s="106"/>
      <c r="GS42" s="106"/>
      <c r="GT42" s="106"/>
      <c r="GU42" s="106"/>
      <c r="GV42" s="106"/>
      <c r="GW42" s="106"/>
      <c r="GX42" s="106"/>
      <c r="GY42" s="106"/>
      <c r="GZ42" s="106"/>
      <c r="HA42" s="106"/>
      <c r="HB42" s="106"/>
      <c r="HC42" s="106"/>
      <c r="HD42" s="106"/>
      <c r="HE42" s="106"/>
      <c r="HF42" s="106"/>
      <c r="HG42" s="106"/>
      <c r="HH42" s="106"/>
      <c r="HI42" s="106"/>
      <c r="HJ42" s="106"/>
      <c r="HK42" s="106"/>
      <c r="HL42" s="106"/>
      <c r="HM42" s="106"/>
      <c r="HN42" s="106"/>
      <c r="HO42" s="106"/>
      <c r="HP42" s="106"/>
      <c r="HQ42" s="106"/>
      <c r="HR42" s="106"/>
      <c r="HS42" s="106"/>
      <c r="HT42" s="106"/>
      <c r="HU42" s="106"/>
      <c r="HV42" s="106"/>
      <c r="HW42" s="106"/>
      <c r="HX42" s="106"/>
      <c r="HY42" s="106"/>
      <c r="HZ42" s="106"/>
      <c r="IA42" s="106"/>
      <c r="IB42" s="100"/>
    </row>
    <row r="43" spans="3:236" ht="3.75" customHeight="1">
      <c r="C43" s="73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5"/>
      <c r="BC43" s="95"/>
      <c r="BD43" s="96"/>
      <c r="BE43" s="96"/>
      <c r="BF43" s="96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96"/>
      <c r="BS43" s="96"/>
      <c r="BT43" s="96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97"/>
      <c r="ET43" s="98"/>
      <c r="EU43" s="99"/>
      <c r="EV43" s="99"/>
      <c r="EW43" s="99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99"/>
      <c r="FJ43" s="99"/>
      <c r="FK43" s="99"/>
      <c r="FL43" s="106"/>
      <c r="FM43" s="106"/>
      <c r="FN43" s="106"/>
      <c r="FO43" s="106"/>
      <c r="FP43" s="106"/>
      <c r="FQ43" s="106"/>
      <c r="FR43" s="106"/>
      <c r="FS43" s="106"/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  <c r="GG43" s="106"/>
      <c r="GH43" s="106"/>
      <c r="GI43" s="106"/>
      <c r="GJ43" s="106"/>
      <c r="GK43" s="106"/>
      <c r="GL43" s="106"/>
      <c r="GM43" s="106"/>
      <c r="GN43" s="106"/>
      <c r="GO43" s="106"/>
      <c r="GP43" s="106"/>
      <c r="GQ43" s="106"/>
      <c r="GR43" s="106"/>
      <c r="GS43" s="106"/>
      <c r="GT43" s="106"/>
      <c r="GU43" s="106"/>
      <c r="GV43" s="106"/>
      <c r="GW43" s="106"/>
      <c r="GX43" s="106"/>
      <c r="GY43" s="106"/>
      <c r="GZ43" s="106"/>
      <c r="HA43" s="106"/>
      <c r="HB43" s="106"/>
      <c r="HC43" s="106"/>
      <c r="HD43" s="106"/>
      <c r="HE43" s="106"/>
      <c r="HF43" s="106"/>
      <c r="HG43" s="106"/>
      <c r="HH43" s="106"/>
      <c r="HI43" s="106"/>
      <c r="HJ43" s="106"/>
      <c r="HK43" s="106"/>
      <c r="HL43" s="106"/>
      <c r="HM43" s="106"/>
      <c r="HN43" s="106"/>
      <c r="HO43" s="106"/>
      <c r="HP43" s="106"/>
      <c r="HQ43" s="106"/>
      <c r="HR43" s="106"/>
      <c r="HS43" s="106"/>
      <c r="HT43" s="106"/>
      <c r="HU43" s="106"/>
      <c r="HV43" s="106"/>
      <c r="HW43" s="106"/>
      <c r="HX43" s="106"/>
      <c r="HY43" s="106"/>
      <c r="HZ43" s="106"/>
      <c r="IA43" s="106"/>
      <c r="IB43" s="100"/>
    </row>
    <row r="44" spans="3:236" ht="3.75" customHeight="1">
      <c r="C44" s="73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5"/>
      <c r="BC44" s="95"/>
      <c r="BD44" s="96"/>
      <c r="BE44" s="96"/>
      <c r="BF44" s="96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96"/>
      <c r="BS44" s="96"/>
      <c r="BT44" s="96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97"/>
      <c r="ET44" s="98"/>
      <c r="EU44" s="99"/>
      <c r="EV44" s="99"/>
      <c r="EW44" s="99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99"/>
      <c r="FJ44" s="99"/>
      <c r="FK44" s="99"/>
      <c r="FL44" s="106"/>
      <c r="FM44" s="106"/>
      <c r="FN44" s="106"/>
      <c r="FO44" s="106"/>
      <c r="FP44" s="106"/>
      <c r="FQ44" s="106"/>
      <c r="FR44" s="106"/>
      <c r="FS44" s="106"/>
      <c r="FT44" s="106"/>
      <c r="FU44" s="106"/>
      <c r="FV44" s="106"/>
      <c r="FW44" s="106"/>
      <c r="FX44" s="106"/>
      <c r="FY44" s="106"/>
      <c r="FZ44" s="106"/>
      <c r="GA44" s="106"/>
      <c r="GB44" s="106"/>
      <c r="GC44" s="106"/>
      <c r="GD44" s="106"/>
      <c r="GE44" s="106"/>
      <c r="GF44" s="106"/>
      <c r="GG44" s="106"/>
      <c r="GH44" s="106"/>
      <c r="GI44" s="106"/>
      <c r="GJ44" s="106"/>
      <c r="GK44" s="106"/>
      <c r="GL44" s="106"/>
      <c r="GM44" s="106"/>
      <c r="GN44" s="106"/>
      <c r="GO44" s="106"/>
      <c r="GP44" s="106"/>
      <c r="GQ44" s="106"/>
      <c r="GR44" s="106"/>
      <c r="GS44" s="106"/>
      <c r="GT44" s="106"/>
      <c r="GU44" s="106"/>
      <c r="GV44" s="106"/>
      <c r="GW44" s="106"/>
      <c r="GX44" s="106"/>
      <c r="GY44" s="106"/>
      <c r="GZ44" s="106"/>
      <c r="HA44" s="106"/>
      <c r="HB44" s="106"/>
      <c r="HC44" s="106"/>
      <c r="HD44" s="106"/>
      <c r="HE44" s="106"/>
      <c r="HF44" s="106"/>
      <c r="HG44" s="106"/>
      <c r="HH44" s="106"/>
      <c r="HI44" s="106"/>
      <c r="HJ44" s="106"/>
      <c r="HK44" s="106"/>
      <c r="HL44" s="106"/>
      <c r="HM44" s="106"/>
      <c r="HN44" s="106"/>
      <c r="HO44" s="106"/>
      <c r="HP44" s="106"/>
      <c r="HQ44" s="106"/>
      <c r="HR44" s="106"/>
      <c r="HS44" s="106"/>
      <c r="HT44" s="106"/>
      <c r="HU44" s="106"/>
      <c r="HV44" s="106"/>
      <c r="HW44" s="106"/>
      <c r="HX44" s="106"/>
      <c r="HY44" s="106"/>
      <c r="HZ44" s="106"/>
      <c r="IA44" s="106"/>
      <c r="IB44" s="100"/>
    </row>
    <row r="45" spans="3:236" ht="3.75" customHeight="1">
      <c r="C45" s="73"/>
      <c r="D45" s="74"/>
      <c r="E45" s="76" t="s">
        <v>1055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C45" s="95"/>
      <c r="BD45" s="96"/>
      <c r="BE45" s="96"/>
      <c r="BF45" s="96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96"/>
      <c r="BS45" s="96"/>
      <c r="BT45" s="96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97"/>
      <c r="ET45" s="98"/>
      <c r="EU45" s="99"/>
      <c r="EV45" s="99"/>
      <c r="EW45" s="99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99"/>
      <c r="FJ45" s="99"/>
      <c r="FK45" s="99"/>
      <c r="FL45" s="106"/>
      <c r="FM45" s="106"/>
      <c r="FN45" s="106"/>
      <c r="FO45" s="106"/>
      <c r="FP45" s="106"/>
      <c r="FQ45" s="106"/>
      <c r="FR45" s="106"/>
      <c r="FS45" s="106"/>
      <c r="FT45" s="106"/>
      <c r="FU45" s="106"/>
      <c r="FV45" s="106"/>
      <c r="FW45" s="106"/>
      <c r="FX45" s="106"/>
      <c r="FY45" s="106"/>
      <c r="FZ45" s="106"/>
      <c r="GA45" s="106"/>
      <c r="GB45" s="106"/>
      <c r="GC45" s="106"/>
      <c r="GD45" s="106"/>
      <c r="GE45" s="106"/>
      <c r="GF45" s="106"/>
      <c r="GG45" s="106"/>
      <c r="GH45" s="106"/>
      <c r="GI45" s="106"/>
      <c r="GJ45" s="106"/>
      <c r="GK45" s="106"/>
      <c r="GL45" s="106"/>
      <c r="GM45" s="106"/>
      <c r="GN45" s="106"/>
      <c r="GO45" s="106"/>
      <c r="GP45" s="106"/>
      <c r="GQ45" s="106"/>
      <c r="GR45" s="106"/>
      <c r="GS45" s="106"/>
      <c r="GT45" s="106"/>
      <c r="GU45" s="106"/>
      <c r="GV45" s="106"/>
      <c r="GW45" s="106"/>
      <c r="GX45" s="106"/>
      <c r="GY45" s="106"/>
      <c r="GZ45" s="106"/>
      <c r="HA45" s="106"/>
      <c r="HB45" s="106"/>
      <c r="HC45" s="106"/>
      <c r="HD45" s="106"/>
      <c r="HE45" s="106"/>
      <c r="HF45" s="106"/>
      <c r="HG45" s="106"/>
      <c r="HH45" s="106"/>
      <c r="HI45" s="106"/>
      <c r="HJ45" s="106"/>
      <c r="HK45" s="106"/>
      <c r="HL45" s="106"/>
      <c r="HM45" s="106"/>
      <c r="HN45" s="106"/>
      <c r="HO45" s="106"/>
      <c r="HP45" s="106"/>
      <c r="HQ45" s="106"/>
      <c r="HR45" s="106"/>
      <c r="HS45" s="106"/>
      <c r="HT45" s="106"/>
      <c r="HU45" s="106"/>
      <c r="HV45" s="106"/>
      <c r="HW45" s="106"/>
      <c r="HX45" s="106"/>
      <c r="HY45" s="106"/>
      <c r="HZ45" s="106"/>
      <c r="IA45" s="106"/>
      <c r="IB45" s="100"/>
    </row>
    <row r="46" spans="3:236" ht="3.75" customHeight="1">
      <c r="C46" s="73"/>
      <c r="D46" s="74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C46" s="95"/>
      <c r="BD46" s="96"/>
      <c r="BE46" s="96"/>
      <c r="BF46" s="96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96"/>
      <c r="BS46" s="96"/>
      <c r="BT46" s="96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97"/>
      <c r="ET46" s="98"/>
      <c r="EU46" s="99"/>
      <c r="EV46" s="99"/>
      <c r="EW46" s="99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99"/>
      <c r="FJ46" s="99"/>
      <c r="FK46" s="99"/>
      <c r="FL46" s="106"/>
      <c r="FM46" s="106"/>
      <c r="FN46" s="106"/>
      <c r="FO46" s="106"/>
      <c r="FP46" s="106"/>
      <c r="FQ46" s="106"/>
      <c r="FR46" s="106"/>
      <c r="FS46" s="106"/>
      <c r="FT46" s="106"/>
      <c r="FU46" s="106"/>
      <c r="FV46" s="106"/>
      <c r="FW46" s="106"/>
      <c r="FX46" s="106"/>
      <c r="FY46" s="106"/>
      <c r="FZ46" s="106"/>
      <c r="GA46" s="106"/>
      <c r="GB46" s="106"/>
      <c r="GC46" s="106"/>
      <c r="GD46" s="106"/>
      <c r="GE46" s="106"/>
      <c r="GF46" s="106"/>
      <c r="GG46" s="106"/>
      <c r="GH46" s="106"/>
      <c r="GI46" s="106"/>
      <c r="GJ46" s="106"/>
      <c r="GK46" s="106"/>
      <c r="GL46" s="106"/>
      <c r="GM46" s="106"/>
      <c r="GN46" s="106"/>
      <c r="GO46" s="106"/>
      <c r="GP46" s="106"/>
      <c r="GQ46" s="106"/>
      <c r="GR46" s="106"/>
      <c r="GS46" s="106"/>
      <c r="GT46" s="106"/>
      <c r="GU46" s="106"/>
      <c r="GV46" s="106"/>
      <c r="GW46" s="106"/>
      <c r="GX46" s="106"/>
      <c r="GY46" s="106"/>
      <c r="GZ46" s="106"/>
      <c r="HA46" s="106"/>
      <c r="HB46" s="106"/>
      <c r="HC46" s="106"/>
      <c r="HD46" s="106"/>
      <c r="HE46" s="106"/>
      <c r="HF46" s="106"/>
      <c r="HG46" s="106"/>
      <c r="HH46" s="106"/>
      <c r="HI46" s="106"/>
      <c r="HJ46" s="106"/>
      <c r="HK46" s="106"/>
      <c r="HL46" s="106"/>
      <c r="HM46" s="106"/>
      <c r="HN46" s="106"/>
      <c r="HO46" s="106"/>
      <c r="HP46" s="106"/>
      <c r="HQ46" s="106"/>
      <c r="HR46" s="106"/>
      <c r="HS46" s="106"/>
      <c r="HT46" s="106"/>
      <c r="HU46" s="106"/>
      <c r="HV46" s="106"/>
      <c r="HW46" s="106"/>
      <c r="HX46" s="106"/>
      <c r="HY46" s="106"/>
      <c r="HZ46" s="106"/>
      <c r="IA46" s="106"/>
      <c r="IB46" s="100"/>
    </row>
    <row r="47" spans="3:236" ht="3.75" customHeight="1">
      <c r="C47" s="73"/>
      <c r="D47" s="74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C47" s="95"/>
      <c r="BD47" s="96"/>
      <c r="BE47" s="96"/>
      <c r="BF47" s="96"/>
      <c r="BG47" s="101"/>
      <c r="BH47" s="101"/>
      <c r="BI47" s="101"/>
      <c r="BJ47" s="101"/>
      <c r="BK47" s="101"/>
      <c r="BL47" s="101"/>
      <c r="BM47" s="101"/>
      <c r="BN47" s="101"/>
      <c r="BO47" s="101"/>
      <c r="BP47" s="101"/>
      <c r="BQ47" s="101"/>
      <c r="BR47" s="96"/>
      <c r="BS47" s="96"/>
      <c r="BT47" s="96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97"/>
      <c r="ET47" s="98"/>
      <c r="EU47" s="99"/>
      <c r="EV47" s="99"/>
      <c r="EW47" s="99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99"/>
      <c r="FJ47" s="99"/>
      <c r="FK47" s="99"/>
      <c r="FL47" s="106"/>
      <c r="FM47" s="106"/>
      <c r="FN47" s="106"/>
      <c r="FO47" s="106"/>
      <c r="FP47" s="106"/>
      <c r="FQ47" s="106"/>
      <c r="FR47" s="106"/>
      <c r="FS47" s="106"/>
      <c r="FT47" s="106"/>
      <c r="FU47" s="106"/>
      <c r="FV47" s="106"/>
      <c r="FW47" s="106"/>
      <c r="FX47" s="106"/>
      <c r="FY47" s="106"/>
      <c r="FZ47" s="106"/>
      <c r="GA47" s="106"/>
      <c r="GB47" s="106"/>
      <c r="GC47" s="106"/>
      <c r="GD47" s="106"/>
      <c r="GE47" s="106"/>
      <c r="GF47" s="106"/>
      <c r="GG47" s="106"/>
      <c r="GH47" s="106"/>
      <c r="GI47" s="106"/>
      <c r="GJ47" s="106"/>
      <c r="GK47" s="106"/>
      <c r="GL47" s="106"/>
      <c r="GM47" s="106"/>
      <c r="GN47" s="106"/>
      <c r="GO47" s="106"/>
      <c r="GP47" s="106"/>
      <c r="GQ47" s="106"/>
      <c r="GR47" s="106"/>
      <c r="GS47" s="106"/>
      <c r="GT47" s="106"/>
      <c r="GU47" s="106"/>
      <c r="GV47" s="106"/>
      <c r="GW47" s="106"/>
      <c r="GX47" s="106"/>
      <c r="GY47" s="106"/>
      <c r="GZ47" s="106"/>
      <c r="HA47" s="106"/>
      <c r="HB47" s="106"/>
      <c r="HC47" s="106"/>
      <c r="HD47" s="106"/>
      <c r="HE47" s="106"/>
      <c r="HF47" s="106"/>
      <c r="HG47" s="106"/>
      <c r="HH47" s="106"/>
      <c r="HI47" s="106"/>
      <c r="HJ47" s="106"/>
      <c r="HK47" s="106"/>
      <c r="HL47" s="106"/>
      <c r="HM47" s="106"/>
      <c r="HN47" s="106"/>
      <c r="HO47" s="106"/>
      <c r="HP47" s="106"/>
      <c r="HQ47" s="106"/>
      <c r="HR47" s="106"/>
      <c r="HS47" s="106"/>
      <c r="HT47" s="106"/>
      <c r="HU47" s="106"/>
      <c r="HV47" s="106"/>
      <c r="HW47" s="106"/>
      <c r="HX47" s="106"/>
      <c r="HY47" s="106"/>
      <c r="HZ47" s="106"/>
      <c r="IA47" s="106"/>
      <c r="IB47" s="100"/>
    </row>
    <row r="48" spans="3:236" ht="3.75" customHeight="1">
      <c r="C48" s="73"/>
      <c r="D48" s="74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C48" s="95"/>
      <c r="BD48" s="96"/>
      <c r="BE48" s="96"/>
      <c r="BF48" s="96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96"/>
      <c r="BS48" s="96"/>
      <c r="BT48" s="96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97"/>
      <c r="ET48" s="98"/>
      <c r="EU48" s="99"/>
      <c r="EV48" s="99"/>
      <c r="EW48" s="99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99"/>
      <c r="FJ48" s="99"/>
      <c r="FK48" s="99"/>
      <c r="FL48" s="106"/>
      <c r="FM48" s="106"/>
      <c r="FN48" s="106"/>
      <c r="FO48" s="106"/>
      <c r="FP48" s="106"/>
      <c r="FQ48" s="106"/>
      <c r="FR48" s="106"/>
      <c r="FS48" s="106"/>
      <c r="FT48" s="106"/>
      <c r="FU48" s="106"/>
      <c r="FV48" s="106"/>
      <c r="FW48" s="106"/>
      <c r="FX48" s="106"/>
      <c r="FY48" s="106"/>
      <c r="FZ48" s="106"/>
      <c r="GA48" s="106"/>
      <c r="GB48" s="106"/>
      <c r="GC48" s="106"/>
      <c r="GD48" s="106"/>
      <c r="GE48" s="106"/>
      <c r="GF48" s="106"/>
      <c r="GG48" s="106"/>
      <c r="GH48" s="106"/>
      <c r="GI48" s="106"/>
      <c r="GJ48" s="106"/>
      <c r="GK48" s="106"/>
      <c r="GL48" s="106"/>
      <c r="GM48" s="106"/>
      <c r="GN48" s="106"/>
      <c r="GO48" s="106"/>
      <c r="GP48" s="106"/>
      <c r="GQ48" s="106"/>
      <c r="GR48" s="106"/>
      <c r="GS48" s="106"/>
      <c r="GT48" s="106"/>
      <c r="GU48" s="106"/>
      <c r="GV48" s="106"/>
      <c r="GW48" s="106"/>
      <c r="GX48" s="106"/>
      <c r="GY48" s="106"/>
      <c r="GZ48" s="106"/>
      <c r="HA48" s="106"/>
      <c r="HB48" s="106"/>
      <c r="HC48" s="106"/>
      <c r="HD48" s="106"/>
      <c r="HE48" s="106"/>
      <c r="HF48" s="106"/>
      <c r="HG48" s="106"/>
      <c r="HH48" s="106"/>
      <c r="HI48" s="106"/>
      <c r="HJ48" s="106"/>
      <c r="HK48" s="106"/>
      <c r="HL48" s="106"/>
      <c r="HM48" s="106"/>
      <c r="HN48" s="106"/>
      <c r="HO48" s="106"/>
      <c r="HP48" s="106"/>
      <c r="HQ48" s="106"/>
      <c r="HR48" s="106"/>
      <c r="HS48" s="106"/>
      <c r="HT48" s="106"/>
      <c r="HU48" s="106"/>
      <c r="HV48" s="106"/>
      <c r="HW48" s="106"/>
      <c r="HX48" s="106"/>
      <c r="HY48" s="106"/>
      <c r="HZ48" s="106"/>
      <c r="IA48" s="106"/>
      <c r="IB48" s="100"/>
    </row>
    <row r="49" spans="3:236" ht="3.75" customHeight="1">
      <c r="C49" s="73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5"/>
      <c r="BC49" s="95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97"/>
      <c r="ET49" s="98"/>
      <c r="EU49" s="99"/>
      <c r="EV49" s="99"/>
      <c r="EW49" s="99"/>
      <c r="EX49" s="99"/>
      <c r="EY49" s="99"/>
      <c r="EZ49" s="99"/>
      <c r="FA49" s="99"/>
      <c r="FB49" s="99"/>
      <c r="FC49" s="99"/>
      <c r="FD49" s="99"/>
      <c r="FE49" s="99"/>
      <c r="FF49" s="99"/>
      <c r="FG49" s="99"/>
      <c r="FH49" s="99"/>
      <c r="FI49" s="99"/>
      <c r="FJ49" s="99"/>
      <c r="FK49" s="99"/>
      <c r="FL49" s="106"/>
      <c r="FM49" s="106"/>
      <c r="FN49" s="106"/>
      <c r="FO49" s="106"/>
      <c r="FP49" s="106"/>
      <c r="FQ49" s="106"/>
      <c r="FR49" s="106"/>
      <c r="FS49" s="106"/>
      <c r="FT49" s="106"/>
      <c r="FU49" s="106"/>
      <c r="FV49" s="106"/>
      <c r="FW49" s="106"/>
      <c r="FX49" s="106"/>
      <c r="FY49" s="106"/>
      <c r="FZ49" s="106"/>
      <c r="GA49" s="106"/>
      <c r="GB49" s="106"/>
      <c r="GC49" s="106"/>
      <c r="GD49" s="106"/>
      <c r="GE49" s="106"/>
      <c r="GF49" s="106"/>
      <c r="GG49" s="106"/>
      <c r="GH49" s="106"/>
      <c r="GI49" s="106"/>
      <c r="GJ49" s="106"/>
      <c r="GK49" s="106"/>
      <c r="GL49" s="106"/>
      <c r="GM49" s="106"/>
      <c r="GN49" s="106"/>
      <c r="GO49" s="106"/>
      <c r="GP49" s="106"/>
      <c r="GQ49" s="106"/>
      <c r="GR49" s="106"/>
      <c r="GS49" s="106"/>
      <c r="GT49" s="106"/>
      <c r="GU49" s="106"/>
      <c r="GV49" s="106"/>
      <c r="GW49" s="106"/>
      <c r="GX49" s="106"/>
      <c r="GY49" s="106"/>
      <c r="GZ49" s="106"/>
      <c r="HA49" s="106"/>
      <c r="HB49" s="106"/>
      <c r="HC49" s="106"/>
      <c r="HD49" s="106"/>
      <c r="HE49" s="106"/>
      <c r="HF49" s="106"/>
      <c r="HG49" s="106"/>
      <c r="HH49" s="106"/>
      <c r="HI49" s="106"/>
      <c r="HJ49" s="106"/>
      <c r="HK49" s="106"/>
      <c r="HL49" s="106"/>
      <c r="HM49" s="106"/>
      <c r="HN49" s="106"/>
      <c r="HO49" s="106"/>
      <c r="HP49" s="106"/>
      <c r="HQ49" s="106"/>
      <c r="HR49" s="106"/>
      <c r="HS49" s="106"/>
      <c r="HT49" s="106"/>
      <c r="HU49" s="106"/>
      <c r="HV49" s="106"/>
      <c r="HW49" s="106"/>
      <c r="HX49" s="106"/>
      <c r="HY49" s="106"/>
      <c r="HZ49" s="106"/>
      <c r="IA49" s="106"/>
      <c r="IB49" s="100"/>
    </row>
    <row r="50" spans="3:236" ht="3.75" customHeight="1">
      <c r="C50" s="73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5"/>
      <c r="BC50" s="95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97"/>
      <c r="ET50" s="98"/>
      <c r="EU50" s="99"/>
      <c r="EV50" s="99"/>
      <c r="EW50" s="99"/>
      <c r="EX50" s="99"/>
      <c r="EY50" s="99"/>
      <c r="EZ50" s="99"/>
      <c r="FA50" s="99"/>
      <c r="FB50" s="99"/>
      <c r="FC50" s="99"/>
      <c r="FD50" s="99"/>
      <c r="FE50" s="99"/>
      <c r="FF50" s="99"/>
      <c r="FG50" s="99"/>
      <c r="FH50" s="99"/>
      <c r="FI50" s="99"/>
      <c r="FJ50" s="99"/>
      <c r="FK50" s="99"/>
      <c r="FL50" s="106"/>
      <c r="FM50" s="106"/>
      <c r="FN50" s="106"/>
      <c r="FO50" s="106"/>
      <c r="FP50" s="106"/>
      <c r="FQ50" s="106"/>
      <c r="FR50" s="106"/>
      <c r="FS50" s="106"/>
      <c r="FT50" s="106"/>
      <c r="FU50" s="106"/>
      <c r="FV50" s="106"/>
      <c r="FW50" s="106"/>
      <c r="FX50" s="106"/>
      <c r="FY50" s="106"/>
      <c r="FZ50" s="106"/>
      <c r="GA50" s="106"/>
      <c r="GB50" s="106"/>
      <c r="GC50" s="106"/>
      <c r="GD50" s="106"/>
      <c r="GE50" s="106"/>
      <c r="GF50" s="106"/>
      <c r="GG50" s="106"/>
      <c r="GH50" s="106"/>
      <c r="GI50" s="106"/>
      <c r="GJ50" s="106"/>
      <c r="GK50" s="106"/>
      <c r="GL50" s="106"/>
      <c r="GM50" s="106"/>
      <c r="GN50" s="106"/>
      <c r="GO50" s="106"/>
      <c r="GP50" s="106"/>
      <c r="GQ50" s="106"/>
      <c r="GR50" s="106"/>
      <c r="GS50" s="106"/>
      <c r="GT50" s="106"/>
      <c r="GU50" s="106"/>
      <c r="GV50" s="106"/>
      <c r="GW50" s="106"/>
      <c r="GX50" s="106"/>
      <c r="GY50" s="106"/>
      <c r="GZ50" s="106"/>
      <c r="HA50" s="106"/>
      <c r="HB50" s="106"/>
      <c r="HC50" s="106"/>
      <c r="HD50" s="106"/>
      <c r="HE50" s="106"/>
      <c r="HF50" s="106"/>
      <c r="HG50" s="106"/>
      <c r="HH50" s="106"/>
      <c r="HI50" s="106"/>
      <c r="HJ50" s="106"/>
      <c r="HK50" s="106"/>
      <c r="HL50" s="106"/>
      <c r="HM50" s="106"/>
      <c r="HN50" s="106"/>
      <c r="HO50" s="106"/>
      <c r="HP50" s="106"/>
      <c r="HQ50" s="106"/>
      <c r="HR50" s="106"/>
      <c r="HS50" s="106"/>
      <c r="HT50" s="106"/>
      <c r="HU50" s="106"/>
      <c r="HV50" s="106"/>
      <c r="HW50" s="106"/>
      <c r="HX50" s="106"/>
      <c r="HY50" s="106"/>
      <c r="HZ50" s="106"/>
      <c r="IA50" s="106"/>
      <c r="IB50" s="100"/>
    </row>
    <row r="51" spans="3:236" ht="3.75" customHeight="1">
      <c r="C51" s="73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5"/>
      <c r="BC51" s="107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8"/>
      <c r="EP51" s="108"/>
      <c r="EQ51" s="109"/>
      <c r="ET51" s="110"/>
      <c r="EU51" s="111"/>
      <c r="EV51" s="111"/>
      <c r="EW51" s="111"/>
      <c r="EX51" s="111"/>
      <c r="EY51" s="111"/>
      <c r="EZ51" s="111"/>
      <c r="FA51" s="111"/>
      <c r="FB51" s="111"/>
      <c r="FC51" s="111"/>
      <c r="FD51" s="111"/>
      <c r="FE51" s="111"/>
      <c r="FF51" s="111"/>
      <c r="FG51" s="111"/>
      <c r="FH51" s="111"/>
      <c r="FI51" s="111"/>
      <c r="FJ51" s="111"/>
      <c r="FK51" s="111"/>
      <c r="FL51" s="111"/>
      <c r="FM51" s="111"/>
      <c r="FN51" s="111"/>
      <c r="FO51" s="111"/>
      <c r="FP51" s="111"/>
      <c r="FQ51" s="111"/>
      <c r="FR51" s="111"/>
      <c r="FS51" s="111"/>
      <c r="FT51" s="111"/>
      <c r="FU51" s="111"/>
      <c r="FV51" s="111"/>
      <c r="FW51" s="111"/>
      <c r="FX51" s="111"/>
      <c r="FY51" s="111"/>
      <c r="FZ51" s="111"/>
      <c r="GA51" s="111"/>
      <c r="GB51" s="111"/>
      <c r="GC51" s="111"/>
      <c r="GD51" s="111"/>
      <c r="GE51" s="111"/>
      <c r="GF51" s="111"/>
      <c r="GG51" s="111"/>
      <c r="GH51" s="111"/>
      <c r="GI51" s="111"/>
      <c r="GJ51" s="111"/>
      <c r="GK51" s="111"/>
      <c r="GL51" s="111"/>
      <c r="GM51" s="111"/>
      <c r="GN51" s="111"/>
      <c r="GO51" s="111"/>
      <c r="GP51" s="111"/>
      <c r="GQ51" s="111"/>
      <c r="GR51" s="111"/>
      <c r="GS51" s="111"/>
      <c r="GT51" s="111"/>
      <c r="GU51" s="111"/>
      <c r="GV51" s="111"/>
      <c r="GW51" s="111"/>
      <c r="GX51" s="111"/>
      <c r="GY51" s="111"/>
      <c r="GZ51" s="111"/>
      <c r="HA51" s="111"/>
      <c r="HB51" s="111"/>
      <c r="HC51" s="111"/>
      <c r="HD51" s="111"/>
      <c r="HE51" s="111"/>
      <c r="HF51" s="111"/>
      <c r="HG51" s="111"/>
      <c r="HH51" s="111"/>
      <c r="HI51" s="111"/>
      <c r="HJ51" s="111"/>
      <c r="HK51" s="111"/>
      <c r="HL51" s="111"/>
      <c r="HM51" s="111"/>
      <c r="HN51" s="111"/>
      <c r="HO51" s="111"/>
      <c r="HP51" s="111"/>
      <c r="HQ51" s="111"/>
      <c r="HR51" s="111"/>
      <c r="HS51" s="111"/>
      <c r="HT51" s="111"/>
      <c r="HU51" s="111"/>
      <c r="HV51" s="111"/>
      <c r="HW51" s="111"/>
      <c r="HX51" s="111"/>
      <c r="HY51" s="111"/>
      <c r="HZ51" s="111"/>
      <c r="IA51" s="111"/>
      <c r="IB51" s="112"/>
    </row>
    <row r="52" spans="3:236" ht="3.75" customHeight="1">
      <c r="C52" s="73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5"/>
    </row>
    <row r="53" spans="3:236" ht="3.75" customHeight="1">
      <c r="C53" s="73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5"/>
    </row>
    <row r="54" spans="3:236" ht="3.75" customHeight="1">
      <c r="C54" s="73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5"/>
      <c r="BC54" s="113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4"/>
      <c r="BT54" s="114"/>
      <c r="BU54" s="114"/>
      <c r="BV54" s="114"/>
      <c r="BW54" s="114"/>
      <c r="BX54" s="114"/>
      <c r="BY54" s="114"/>
      <c r="BZ54" s="114"/>
      <c r="CA54" s="114"/>
      <c r="CB54" s="114"/>
      <c r="CC54" s="114"/>
      <c r="CD54" s="114"/>
      <c r="CE54" s="114"/>
      <c r="CF54" s="114"/>
      <c r="CG54" s="114"/>
      <c r="CH54" s="114"/>
      <c r="CI54" s="114"/>
      <c r="CJ54" s="114"/>
      <c r="CK54" s="114"/>
      <c r="CL54" s="114"/>
      <c r="CM54" s="114"/>
      <c r="CN54" s="114"/>
      <c r="CO54" s="114"/>
      <c r="CP54" s="114"/>
      <c r="CQ54" s="114"/>
      <c r="CR54" s="114"/>
      <c r="CS54" s="114"/>
      <c r="CT54" s="114"/>
      <c r="CU54" s="114"/>
      <c r="CV54" s="114"/>
      <c r="CW54" s="114"/>
      <c r="CX54" s="114"/>
      <c r="CY54" s="114"/>
      <c r="CZ54" s="114"/>
      <c r="DA54" s="114"/>
      <c r="DB54" s="114"/>
      <c r="DC54" s="114"/>
      <c r="DD54" s="114"/>
      <c r="DE54" s="114"/>
      <c r="DF54" s="114"/>
      <c r="DG54" s="114"/>
      <c r="DH54" s="114"/>
      <c r="DI54" s="114"/>
      <c r="DJ54" s="114"/>
      <c r="DK54" s="114"/>
      <c r="DL54" s="114"/>
      <c r="DM54" s="114"/>
      <c r="DN54" s="114"/>
      <c r="DO54" s="114"/>
      <c r="DP54" s="114"/>
      <c r="DQ54" s="114"/>
      <c r="DR54" s="114"/>
      <c r="DS54" s="114"/>
      <c r="DT54" s="114"/>
      <c r="DU54" s="114"/>
      <c r="DV54" s="114"/>
      <c r="DW54" s="114"/>
      <c r="DX54" s="114"/>
      <c r="DY54" s="114"/>
      <c r="DZ54" s="114"/>
      <c r="EA54" s="114"/>
      <c r="EB54" s="114"/>
      <c r="EC54" s="114"/>
      <c r="ED54" s="114"/>
      <c r="EE54" s="114"/>
      <c r="EF54" s="114"/>
      <c r="EG54" s="114"/>
      <c r="EH54" s="114"/>
      <c r="EI54" s="114"/>
      <c r="EJ54" s="114"/>
      <c r="EK54" s="114"/>
      <c r="EL54" s="114"/>
      <c r="EM54" s="114"/>
      <c r="EN54" s="114"/>
      <c r="EO54" s="114"/>
      <c r="EP54" s="115"/>
      <c r="ER54" s="113"/>
      <c r="ES54" s="114"/>
      <c r="ET54" s="114"/>
      <c r="EU54" s="114"/>
      <c r="EV54" s="114"/>
      <c r="EW54" s="114"/>
      <c r="EX54" s="114"/>
      <c r="EY54" s="114"/>
      <c r="EZ54" s="114"/>
      <c r="FA54" s="114"/>
      <c r="FB54" s="114"/>
      <c r="FC54" s="114"/>
      <c r="FD54" s="114"/>
      <c r="FE54" s="114"/>
      <c r="FF54" s="114"/>
      <c r="FG54" s="114"/>
      <c r="FH54" s="114"/>
      <c r="FI54" s="114"/>
      <c r="FJ54" s="114"/>
      <c r="FK54" s="114"/>
      <c r="FL54" s="114"/>
      <c r="FM54" s="114"/>
      <c r="FN54" s="114"/>
      <c r="FO54" s="114"/>
      <c r="FP54" s="114"/>
      <c r="FQ54" s="114"/>
      <c r="FR54" s="114"/>
      <c r="FS54" s="114"/>
      <c r="FT54" s="114"/>
      <c r="FU54" s="114"/>
      <c r="FV54" s="114"/>
      <c r="FW54" s="114"/>
      <c r="FX54" s="114"/>
      <c r="FY54" s="114"/>
      <c r="FZ54" s="114"/>
      <c r="GA54" s="114"/>
      <c r="GB54" s="114"/>
      <c r="GC54" s="114"/>
      <c r="GD54" s="114"/>
      <c r="GE54" s="114"/>
      <c r="GF54" s="114"/>
      <c r="GG54" s="114"/>
      <c r="GH54" s="114"/>
      <c r="GI54" s="114"/>
      <c r="GJ54" s="114"/>
      <c r="GK54" s="114"/>
      <c r="GL54" s="114"/>
      <c r="GM54" s="114"/>
      <c r="GN54" s="114"/>
      <c r="GO54" s="114"/>
      <c r="GP54" s="114"/>
      <c r="GQ54" s="114"/>
      <c r="GR54" s="114"/>
      <c r="GS54" s="114"/>
      <c r="GT54" s="114"/>
      <c r="GU54" s="114"/>
      <c r="GV54" s="114"/>
      <c r="GW54" s="114"/>
      <c r="GX54" s="114"/>
      <c r="GY54" s="114"/>
      <c r="GZ54" s="114"/>
      <c r="HA54" s="114"/>
      <c r="HB54" s="114"/>
      <c r="HC54" s="114"/>
      <c r="HD54" s="114"/>
      <c r="HE54" s="114"/>
      <c r="HF54" s="114"/>
      <c r="HG54" s="114"/>
      <c r="HH54" s="114"/>
      <c r="HI54" s="114"/>
      <c r="HJ54" s="114"/>
      <c r="HK54" s="114"/>
      <c r="HL54" s="114"/>
      <c r="HM54" s="114"/>
      <c r="HN54" s="114"/>
      <c r="HO54" s="114"/>
      <c r="HP54" s="114"/>
      <c r="HQ54" s="114"/>
      <c r="HR54" s="114"/>
      <c r="HS54" s="114"/>
      <c r="HT54" s="114"/>
      <c r="HU54" s="114"/>
      <c r="HV54" s="114"/>
      <c r="HW54" s="114"/>
      <c r="HX54" s="114"/>
      <c r="HY54" s="114"/>
      <c r="HZ54" s="114"/>
      <c r="IA54" s="114"/>
      <c r="IB54" s="115"/>
    </row>
    <row r="55" spans="3:236" ht="3.75" customHeight="1">
      <c r="C55" s="73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5"/>
      <c r="BC55" s="116"/>
      <c r="BD55" s="117"/>
      <c r="BE55" s="118" t="s">
        <v>1064</v>
      </c>
      <c r="BF55" s="118"/>
      <c r="BG55" s="118"/>
      <c r="BH55" s="118"/>
      <c r="BI55" s="118"/>
      <c r="BJ55" s="118"/>
      <c r="BK55" s="118"/>
      <c r="BL55" s="117"/>
      <c r="BM55" s="119" t="s">
        <v>1077</v>
      </c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119"/>
      <c r="DD55" s="119"/>
      <c r="DE55" s="119"/>
      <c r="DF55" s="119"/>
      <c r="DG55" s="119"/>
      <c r="DH55" s="119"/>
      <c r="DI55" s="119"/>
      <c r="DJ55" s="119"/>
      <c r="DK55" s="119"/>
      <c r="DL55" s="119"/>
      <c r="DM55" s="119"/>
      <c r="DN55" s="119"/>
      <c r="DO55" s="119"/>
      <c r="DP55" s="119"/>
      <c r="DQ55" s="119"/>
      <c r="DR55" s="119"/>
      <c r="DS55" s="119"/>
      <c r="DT55" s="119"/>
      <c r="DU55" s="119"/>
      <c r="DV55" s="119"/>
      <c r="DW55" s="119"/>
      <c r="DX55" s="119"/>
      <c r="DY55" s="119"/>
      <c r="DZ55" s="119"/>
      <c r="EA55" s="119"/>
      <c r="EB55" s="119"/>
      <c r="EC55" s="119"/>
      <c r="ED55" s="119"/>
      <c r="EE55" s="119"/>
      <c r="EF55" s="119"/>
      <c r="EG55" s="119"/>
      <c r="EH55" s="119"/>
      <c r="EI55" s="119"/>
      <c r="EJ55" s="119"/>
      <c r="EK55" s="119"/>
      <c r="EL55" s="119"/>
      <c r="EM55" s="119"/>
      <c r="EN55" s="117"/>
      <c r="EO55" s="117"/>
      <c r="EP55" s="120"/>
      <c r="ER55" s="116"/>
      <c r="ES55" s="121"/>
      <c r="ET55" s="117"/>
      <c r="EU55" s="118" t="s">
        <v>1078</v>
      </c>
      <c r="EV55" s="118"/>
      <c r="EW55" s="118"/>
      <c r="EX55" s="118"/>
      <c r="EY55" s="118"/>
      <c r="EZ55" s="118"/>
      <c r="FA55" s="118"/>
      <c r="FB55" s="117"/>
      <c r="FC55" s="119" t="s">
        <v>1079</v>
      </c>
      <c r="FD55" s="119"/>
      <c r="FE55" s="119"/>
      <c r="FF55" s="119"/>
      <c r="FG55" s="119"/>
      <c r="FH55" s="119"/>
      <c r="FI55" s="119"/>
      <c r="FJ55" s="119"/>
      <c r="FK55" s="119"/>
      <c r="FL55" s="119"/>
      <c r="FM55" s="119"/>
      <c r="FN55" s="119"/>
      <c r="FO55" s="119"/>
      <c r="FP55" s="119"/>
      <c r="FQ55" s="119"/>
      <c r="FR55" s="119"/>
      <c r="FS55" s="119"/>
      <c r="FT55" s="119"/>
      <c r="FU55" s="119"/>
      <c r="FV55" s="119"/>
      <c r="FW55" s="119"/>
      <c r="FX55" s="119"/>
      <c r="FY55" s="119"/>
      <c r="FZ55" s="119"/>
      <c r="GA55" s="119"/>
      <c r="GB55" s="119"/>
      <c r="GC55" s="119"/>
      <c r="GD55" s="119"/>
      <c r="GE55" s="119"/>
      <c r="GF55" s="119"/>
      <c r="GG55" s="119"/>
      <c r="GH55" s="119"/>
      <c r="GI55" s="119"/>
      <c r="GJ55" s="119"/>
      <c r="GK55" s="119"/>
      <c r="GL55" s="119"/>
      <c r="GM55" s="119"/>
      <c r="GN55" s="119"/>
      <c r="GO55" s="119"/>
      <c r="GP55" s="119"/>
      <c r="GQ55" s="119"/>
      <c r="GR55" s="119"/>
      <c r="GS55" s="119"/>
      <c r="GT55" s="119"/>
      <c r="GU55" s="119"/>
      <c r="GV55" s="119"/>
      <c r="GW55" s="119"/>
      <c r="GX55" s="119"/>
      <c r="GY55" s="119"/>
      <c r="GZ55" s="119"/>
      <c r="HA55" s="119"/>
      <c r="HB55" s="119"/>
      <c r="HC55" s="119"/>
      <c r="HD55" s="119"/>
      <c r="HE55" s="119"/>
      <c r="HF55" s="119"/>
      <c r="HG55" s="119"/>
      <c r="HH55" s="119"/>
      <c r="HI55" s="119"/>
      <c r="HJ55" s="119"/>
      <c r="HK55" s="119"/>
      <c r="HL55" s="119"/>
      <c r="HM55" s="119"/>
      <c r="HN55" s="119"/>
      <c r="HO55" s="119"/>
      <c r="HP55" s="119"/>
      <c r="HQ55" s="119"/>
      <c r="HR55" s="119"/>
      <c r="HS55" s="119"/>
      <c r="HT55" s="119"/>
      <c r="HU55" s="119"/>
      <c r="HV55" s="119"/>
      <c r="HW55" s="119"/>
      <c r="HX55" s="119"/>
      <c r="HY55" s="119"/>
      <c r="HZ55" s="117"/>
      <c r="IA55" s="117"/>
      <c r="IB55" s="120"/>
    </row>
    <row r="56" spans="3:236" ht="3.75" customHeight="1">
      <c r="C56" s="73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5"/>
      <c r="BC56" s="116"/>
      <c r="BD56" s="117"/>
      <c r="BE56" s="118"/>
      <c r="BF56" s="118"/>
      <c r="BG56" s="118"/>
      <c r="BH56" s="118"/>
      <c r="BI56" s="118"/>
      <c r="BJ56" s="118"/>
      <c r="BK56" s="118"/>
      <c r="BL56" s="117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  <c r="BZ56" s="119"/>
      <c r="CA56" s="119"/>
      <c r="CB56" s="119"/>
      <c r="CC56" s="119"/>
      <c r="CD56" s="119"/>
      <c r="CE56" s="119"/>
      <c r="CF56" s="119"/>
      <c r="CG56" s="119"/>
      <c r="CH56" s="119"/>
      <c r="CI56" s="119"/>
      <c r="CJ56" s="119"/>
      <c r="CK56" s="119"/>
      <c r="CL56" s="119"/>
      <c r="CM56" s="119"/>
      <c r="CN56" s="119"/>
      <c r="CO56" s="119"/>
      <c r="CP56" s="119"/>
      <c r="CQ56" s="119"/>
      <c r="CR56" s="119"/>
      <c r="CS56" s="119"/>
      <c r="CT56" s="119"/>
      <c r="CU56" s="119"/>
      <c r="CV56" s="119"/>
      <c r="CW56" s="119"/>
      <c r="CX56" s="119"/>
      <c r="CY56" s="119"/>
      <c r="CZ56" s="119"/>
      <c r="DA56" s="119"/>
      <c r="DB56" s="119"/>
      <c r="DC56" s="119"/>
      <c r="DD56" s="119"/>
      <c r="DE56" s="119"/>
      <c r="DF56" s="119"/>
      <c r="DG56" s="119"/>
      <c r="DH56" s="119"/>
      <c r="DI56" s="119"/>
      <c r="DJ56" s="119"/>
      <c r="DK56" s="119"/>
      <c r="DL56" s="119"/>
      <c r="DM56" s="119"/>
      <c r="DN56" s="119"/>
      <c r="DO56" s="119"/>
      <c r="DP56" s="119"/>
      <c r="DQ56" s="119"/>
      <c r="DR56" s="119"/>
      <c r="DS56" s="119"/>
      <c r="DT56" s="119"/>
      <c r="DU56" s="119"/>
      <c r="DV56" s="119"/>
      <c r="DW56" s="119"/>
      <c r="DX56" s="119"/>
      <c r="DY56" s="119"/>
      <c r="DZ56" s="119"/>
      <c r="EA56" s="119"/>
      <c r="EB56" s="119"/>
      <c r="EC56" s="119"/>
      <c r="ED56" s="119"/>
      <c r="EE56" s="119"/>
      <c r="EF56" s="119"/>
      <c r="EG56" s="119"/>
      <c r="EH56" s="119"/>
      <c r="EI56" s="119"/>
      <c r="EJ56" s="119"/>
      <c r="EK56" s="119"/>
      <c r="EL56" s="119"/>
      <c r="EM56" s="119"/>
      <c r="EN56" s="117"/>
      <c r="EO56" s="117"/>
      <c r="EP56" s="120"/>
      <c r="ER56" s="116"/>
      <c r="ES56" s="121"/>
      <c r="ET56" s="117"/>
      <c r="EU56" s="118"/>
      <c r="EV56" s="118"/>
      <c r="EW56" s="118"/>
      <c r="EX56" s="118"/>
      <c r="EY56" s="118"/>
      <c r="EZ56" s="118"/>
      <c r="FA56" s="118"/>
      <c r="FB56" s="117"/>
      <c r="FC56" s="119"/>
      <c r="FD56" s="119"/>
      <c r="FE56" s="119"/>
      <c r="FF56" s="119"/>
      <c r="FG56" s="119"/>
      <c r="FH56" s="119"/>
      <c r="FI56" s="119"/>
      <c r="FJ56" s="119"/>
      <c r="FK56" s="119"/>
      <c r="FL56" s="119"/>
      <c r="FM56" s="119"/>
      <c r="FN56" s="119"/>
      <c r="FO56" s="119"/>
      <c r="FP56" s="119"/>
      <c r="FQ56" s="119"/>
      <c r="FR56" s="119"/>
      <c r="FS56" s="119"/>
      <c r="FT56" s="119"/>
      <c r="FU56" s="119"/>
      <c r="FV56" s="119"/>
      <c r="FW56" s="119"/>
      <c r="FX56" s="119"/>
      <c r="FY56" s="119"/>
      <c r="FZ56" s="119"/>
      <c r="GA56" s="119"/>
      <c r="GB56" s="119"/>
      <c r="GC56" s="119"/>
      <c r="GD56" s="119"/>
      <c r="GE56" s="119"/>
      <c r="GF56" s="119"/>
      <c r="GG56" s="119"/>
      <c r="GH56" s="119"/>
      <c r="GI56" s="119"/>
      <c r="GJ56" s="119"/>
      <c r="GK56" s="119"/>
      <c r="GL56" s="119"/>
      <c r="GM56" s="119"/>
      <c r="GN56" s="119"/>
      <c r="GO56" s="119"/>
      <c r="GP56" s="119"/>
      <c r="GQ56" s="119"/>
      <c r="GR56" s="119"/>
      <c r="GS56" s="119"/>
      <c r="GT56" s="119"/>
      <c r="GU56" s="119"/>
      <c r="GV56" s="119"/>
      <c r="GW56" s="119"/>
      <c r="GX56" s="119"/>
      <c r="GY56" s="119"/>
      <c r="GZ56" s="119"/>
      <c r="HA56" s="119"/>
      <c r="HB56" s="119"/>
      <c r="HC56" s="119"/>
      <c r="HD56" s="119"/>
      <c r="HE56" s="119"/>
      <c r="HF56" s="119"/>
      <c r="HG56" s="119"/>
      <c r="HH56" s="119"/>
      <c r="HI56" s="119"/>
      <c r="HJ56" s="119"/>
      <c r="HK56" s="119"/>
      <c r="HL56" s="119"/>
      <c r="HM56" s="119"/>
      <c r="HN56" s="119"/>
      <c r="HO56" s="119"/>
      <c r="HP56" s="119"/>
      <c r="HQ56" s="119"/>
      <c r="HR56" s="119"/>
      <c r="HS56" s="119"/>
      <c r="HT56" s="119"/>
      <c r="HU56" s="119"/>
      <c r="HV56" s="119"/>
      <c r="HW56" s="119"/>
      <c r="HX56" s="119"/>
      <c r="HY56" s="119"/>
      <c r="HZ56" s="117"/>
      <c r="IA56" s="117"/>
      <c r="IB56" s="120"/>
    </row>
    <row r="57" spans="3:236" ht="3.75" customHeight="1">
      <c r="C57" s="73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5"/>
      <c r="BC57" s="116"/>
      <c r="BD57" s="117"/>
      <c r="BE57" s="118"/>
      <c r="BF57" s="118"/>
      <c r="BG57" s="118"/>
      <c r="BH57" s="118"/>
      <c r="BI57" s="118"/>
      <c r="BJ57" s="118"/>
      <c r="BK57" s="118"/>
      <c r="BL57" s="117"/>
      <c r="BM57" s="119"/>
      <c r="BN57" s="119"/>
      <c r="BO57" s="119"/>
      <c r="BP57" s="119"/>
      <c r="BQ57" s="119"/>
      <c r="BR57" s="119"/>
      <c r="BS57" s="119"/>
      <c r="BT57" s="119"/>
      <c r="BU57" s="119"/>
      <c r="BV57" s="119"/>
      <c r="BW57" s="119"/>
      <c r="BX57" s="119"/>
      <c r="BY57" s="119"/>
      <c r="BZ57" s="119"/>
      <c r="CA57" s="119"/>
      <c r="CB57" s="119"/>
      <c r="CC57" s="119"/>
      <c r="CD57" s="119"/>
      <c r="CE57" s="119"/>
      <c r="CF57" s="119"/>
      <c r="CG57" s="119"/>
      <c r="CH57" s="119"/>
      <c r="CI57" s="119"/>
      <c r="CJ57" s="119"/>
      <c r="CK57" s="119"/>
      <c r="CL57" s="119"/>
      <c r="CM57" s="119"/>
      <c r="CN57" s="119"/>
      <c r="CO57" s="119"/>
      <c r="CP57" s="119"/>
      <c r="CQ57" s="119"/>
      <c r="CR57" s="119"/>
      <c r="CS57" s="119"/>
      <c r="CT57" s="119"/>
      <c r="CU57" s="119"/>
      <c r="CV57" s="119"/>
      <c r="CW57" s="119"/>
      <c r="CX57" s="119"/>
      <c r="CY57" s="119"/>
      <c r="CZ57" s="119"/>
      <c r="DA57" s="119"/>
      <c r="DB57" s="119"/>
      <c r="DC57" s="119"/>
      <c r="DD57" s="119"/>
      <c r="DE57" s="119"/>
      <c r="DF57" s="119"/>
      <c r="DG57" s="119"/>
      <c r="DH57" s="119"/>
      <c r="DI57" s="119"/>
      <c r="DJ57" s="119"/>
      <c r="DK57" s="119"/>
      <c r="DL57" s="119"/>
      <c r="DM57" s="119"/>
      <c r="DN57" s="119"/>
      <c r="DO57" s="119"/>
      <c r="DP57" s="119"/>
      <c r="DQ57" s="119"/>
      <c r="DR57" s="119"/>
      <c r="DS57" s="119"/>
      <c r="DT57" s="119"/>
      <c r="DU57" s="119"/>
      <c r="DV57" s="119"/>
      <c r="DW57" s="119"/>
      <c r="DX57" s="119"/>
      <c r="DY57" s="119"/>
      <c r="DZ57" s="119"/>
      <c r="EA57" s="119"/>
      <c r="EB57" s="119"/>
      <c r="EC57" s="119"/>
      <c r="ED57" s="119"/>
      <c r="EE57" s="119"/>
      <c r="EF57" s="119"/>
      <c r="EG57" s="119"/>
      <c r="EH57" s="119"/>
      <c r="EI57" s="119"/>
      <c r="EJ57" s="119"/>
      <c r="EK57" s="119"/>
      <c r="EL57" s="119"/>
      <c r="EM57" s="119"/>
      <c r="EN57" s="117"/>
      <c r="EO57" s="117"/>
      <c r="EP57" s="120"/>
      <c r="ER57" s="116"/>
      <c r="ES57" s="121"/>
      <c r="ET57" s="117"/>
      <c r="EU57" s="118"/>
      <c r="EV57" s="118"/>
      <c r="EW57" s="118"/>
      <c r="EX57" s="118"/>
      <c r="EY57" s="118"/>
      <c r="EZ57" s="118"/>
      <c r="FA57" s="118"/>
      <c r="FB57" s="117"/>
      <c r="FC57" s="119"/>
      <c r="FD57" s="119"/>
      <c r="FE57" s="119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119"/>
      <c r="GL57" s="119"/>
      <c r="GM57" s="119"/>
      <c r="GN57" s="119"/>
      <c r="GO57" s="119"/>
      <c r="GP57" s="119"/>
      <c r="GQ57" s="119"/>
      <c r="GR57" s="119"/>
      <c r="GS57" s="119"/>
      <c r="GT57" s="119"/>
      <c r="GU57" s="119"/>
      <c r="GV57" s="119"/>
      <c r="GW57" s="119"/>
      <c r="GX57" s="119"/>
      <c r="GY57" s="119"/>
      <c r="GZ57" s="119"/>
      <c r="HA57" s="119"/>
      <c r="HB57" s="119"/>
      <c r="HC57" s="119"/>
      <c r="HD57" s="119"/>
      <c r="HE57" s="119"/>
      <c r="HF57" s="119"/>
      <c r="HG57" s="119"/>
      <c r="HH57" s="119"/>
      <c r="HI57" s="119"/>
      <c r="HJ57" s="119"/>
      <c r="HK57" s="119"/>
      <c r="HL57" s="119"/>
      <c r="HM57" s="119"/>
      <c r="HN57" s="119"/>
      <c r="HO57" s="119"/>
      <c r="HP57" s="119"/>
      <c r="HQ57" s="119"/>
      <c r="HR57" s="119"/>
      <c r="HS57" s="119"/>
      <c r="HT57" s="119"/>
      <c r="HU57" s="119"/>
      <c r="HV57" s="119"/>
      <c r="HW57" s="119"/>
      <c r="HX57" s="119"/>
      <c r="HY57" s="119"/>
      <c r="HZ57" s="117"/>
      <c r="IA57" s="117"/>
      <c r="IB57" s="120"/>
    </row>
    <row r="58" spans="3:236" ht="3.75" customHeight="1">
      <c r="C58" s="73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5"/>
      <c r="BC58" s="116"/>
      <c r="BD58" s="117"/>
      <c r="BE58" s="118"/>
      <c r="BF58" s="118"/>
      <c r="BG58" s="118"/>
      <c r="BH58" s="118"/>
      <c r="BI58" s="118"/>
      <c r="BJ58" s="118"/>
      <c r="BK58" s="118"/>
      <c r="BL58" s="117"/>
      <c r="BM58" s="119"/>
      <c r="BN58" s="119"/>
      <c r="BO58" s="119"/>
      <c r="BP58" s="119"/>
      <c r="BQ58" s="119"/>
      <c r="BR58" s="119"/>
      <c r="BS58" s="119"/>
      <c r="BT58" s="119"/>
      <c r="BU58" s="119"/>
      <c r="BV58" s="119"/>
      <c r="BW58" s="119"/>
      <c r="BX58" s="119"/>
      <c r="BY58" s="119"/>
      <c r="BZ58" s="119"/>
      <c r="CA58" s="119"/>
      <c r="CB58" s="119"/>
      <c r="CC58" s="119"/>
      <c r="CD58" s="119"/>
      <c r="CE58" s="119"/>
      <c r="CF58" s="119"/>
      <c r="CG58" s="119"/>
      <c r="CH58" s="119"/>
      <c r="CI58" s="119"/>
      <c r="CJ58" s="119"/>
      <c r="CK58" s="119"/>
      <c r="CL58" s="119"/>
      <c r="CM58" s="119"/>
      <c r="CN58" s="119"/>
      <c r="CO58" s="119"/>
      <c r="CP58" s="119"/>
      <c r="CQ58" s="119"/>
      <c r="CR58" s="119"/>
      <c r="CS58" s="119"/>
      <c r="CT58" s="119"/>
      <c r="CU58" s="119"/>
      <c r="CV58" s="119"/>
      <c r="CW58" s="119"/>
      <c r="CX58" s="119"/>
      <c r="CY58" s="119"/>
      <c r="CZ58" s="119"/>
      <c r="DA58" s="119"/>
      <c r="DB58" s="119"/>
      <c r="DC58" s="119"/>
      <c r="DD58" s="119"/>
      <c r="DE58" s="119"/>
      <c r="DF58" s="119"/>
      <c r="DG58" s="119"/>
      <c r="DH58" s="119"/>
      <c r="DI58" s="119"/>
      <c r="DJ58" s="119"/>
      <c r="DK58" s="119"/>
      <c r="DL58" s="119"/>
      <c r="DM58" s="119"/>
      <c r="DN58" s="119"/>
      <c r="DO58" s="119"/>
      <c r="DP58" s="119"/>
      <c r="DQ58" s="119"/>
      <c r="DR58" s="119"/>
      <c r="DS58" s="119"/>
      <c r="DT58" s="119"/>
      <c r="DU58" s="119"/>
      <c r="DV58" s="119"/>
      <c r="DW58" s="119"/>
      <c r="DX58" s="119"/>
      <c r="DY58" s="119"/>
      <c r="DZ58" s="119"/>
      <c r="EA58" s="119"/>
      <c r="EB58" s="119"/>
      <c r="EC58" s="119"/>
      <c r="ED58" s="119"/>
      <c r="EE58" s="119"/>
      <c r="EF58" s="119"/>
      <c r="EG58" s="119"/>
      <c r="EH58" s="119"/>
      <c r="EI58" s="119"/>
      <c r="EJ58" s="119"/>
      <c r="EK58" s="119"/>
      <c r="EL58" s="119"/>
      <c r="EM58" s="119"/>
      <c r="EN58" s="117"/>
      <c r="EO58" s="117"/>
      <c r="EP58" s="120"/>
      <c r="ER58" s="116"/>
      <c r="ES58" s="121"/>
      <c r="ET58" s="117"/>
      <c r="EU58" s="118"/>
      <c r="EV58" s="118"/>
      <c r="EW58" s="118"/>
      <c r="EX58" s="118"/>
      <c r="EY58" s="118"/>
      <c r="EZ58" s="118"/>
      <c r="FA58" s="118"/>
      <c r="FB58" s="117"/>
      <c r="FC58" s="119"/>
      <c r="FD58" s="119"/>
      <c r="FE58" s="119"/>
      <c r="FF58" s="119"/>
      <c r="FG58" s="119"/>
      <c r="FH58" s="119"/>
      <c r="FI58" s="119"/>
      <c r="FJ58" s="119"/>
      <c r="FK58" s="119"/>
      <c r="FL58" s="119"/>
      <c r="FM58" s="119"/>
      <c r="FN58" s="119"/>
      <c r="FO58" s="119"/>
      <c r="FP58" s="119"/>
      <c r="FQ58" s="119"/>
      <c r="FR58" s="119"/>
      <c r="FS58" s="119"/>
      <c r="FT58" s="119"/>
      <c r="FU58" s="119"/>
      <c r="FV58" s="119"/>
      <c r="FW58" s="119"/>
      <c r="FX58" s="119"/>
      <c r="FY58" s="119"/>
      <c r="FZ58" s="119"/>
      <c r="GA58" s="119"/>
      <c r="GB58" s="119"/>
      <c r="GC58" s="119"/>
      <c r="GD58" s="119"/>
      <c r="GE58" s="119"/>
      <c r="GF58" s="119"/>
      <c r="GG58" s="119"/>
      <c r="GH58" s="119"/>
      <c r="GI58" s="119"/>
      <c r="GJ58" s="119"/>
      <c r="GK58" s="119"/>
      <c r="GL58" s="119"/>
      <c r="GM58" s="119"/>
      <c r="GN58" s="119"/>
      <c r="GO58" s="119"/>
      <c r="GP58" s="119"/>
      <c r="GQ58" s="119"/>
      <c r="GR58" s="119"/>
      <c r="GS58" s="119"/>
      <c r="GT58" s="119"/>
      <c r="GU58" s="119"/>
      <c r="GV58" s="119"/>
      <c r="GW58" s="119"/>
      <c r="GX58" s="119"/>
      <c r="GY58" s="119"/>
      <c r="GZ58" s="119"/>
      <c r="HA58" s="119"/>
      <c r="HB58" s="119"/>
      <c r="HC58" s="119"/>
      <c r="HD58" s="119"/>
      <c r="HE58" s="119"/>
      <c r="HF58" s="119"/>
      <c r="HG58" s="119"/>
      <c r="HH58" s="119"/>
      <c r="HI58" s="119"/>
      <c r="HJ58" s="119"/>
      <c r="HK58" s="119"/>
      <c r="HL58" s="119"/>
      <c r="HM58" s="119"/>
      <c r="HN58" s="119"/>
      <c r="HO58" s="119"/>
      <c r="HP58" s="119"/>
      <c r="HQ58" s="119"/>
      <c r="HR58" s="119"/>
      <c r="HS58" s="119"/>
      <c r="HT58" s="119"/>
      <c r="HU58" s="119"/>
      <c r="HV58" s="119"/>
      <c r="HW58" s="119"/>
      <c r="HX58" s="119"/>
      <c r="HY58" s="119"/>
      <c r="HZ58" s="117"/>
      <c r="IA58" s="117"/>
      <c r="IB58" s="120"/>
    </row>
    <row r="59" spans="3:236" ht="3.75" customHeight="1">
      <c r="C59" s="73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5"/>
      <c r="BC59" s="116"/>
      <c r="BD59" s="117"/>
      <c r="BE59" s="118"/>
      <c r="BF59" s="118"/>
      <c r="BG59" s="118"/>
      <c r="BH59" s="118"/>
      <c r="BI59" s="118"/>
      <c r="BJ59" s="118"/>
      <c r="BK59" s="118"/>
      <c r="BL59" s="117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  <c r="BZ59" s="119"/>
      <c r="CA59" s="119"/>
      <c r="CB59" s="119"/>
      <c r="CC59" s="119"/>
      <c r="CD59" s="119"/>
      <c r="CE59" s="119"/>
      <c r="CF59" s="119"/>
      <c r="CG59" s="119"/>
      <c r="CH59" s="119"/>
      <c r="CI59" s="119"/>
      <c r="CJ59" s="119"/>
      <c r="CK59" s="119"/>
      <c r="CL59" s="119"/>
      <c r="CM59" s="119"/>
      <c r="CN59" s="119"/>
      <c r="CO59" s="119"/>
      <c r="CP59" s="119"/>
      <c r="CQ59" s="119"/>
      <c r="CR59" s="119"/>
      <c r="CS59" s="119"/>
      <c r="CT59" s="119"/>
      <c r="CU59" s="119"/>
      <c r="CV59" s="119"/>
      <c r="CW59" s="119"/>
      <c r="CX59" s="119"/>
      <c r="CY59" s="119"/>
      <c r="CZ59" s="119"/>
      <c r="DA59" s="119"/>
      <c r="DB59" s="119"/>
      <c r="DC59" s="119"/>
      <c r="DD59" s="119"/>
      <c r="DE59" s="119"/>
      <c r="DF59" s="119"/>
      <c r="DG59" s="119"/>
      <c r="DH59" s="119"/>
      <c r="DI59" s="119"/>
      <c r="DJ59" s="119"/>
      <c r="DK59" s="119"/>
      <c r="DL59" s="119"/>
      <c r="DM59" s="119"/>
      <c r="DN59" s="119"/>
      <c r="DO59" s="119"/>
      <c r="DP59" s="119"/>
      <c r="DQ59" s="119"/>
      <c r="DR59" s="119"/>
      <c r="DS59" s="119"/>
      <c r="DT59" s="119"/>
      <c r="DU59" s="119"/>
      <c r="DV59" s="119"/>
      <c r="DW59" s="119"/>
      <c r="DX59" s="119"/>
      <c r="DY59" s="119"/>
      <c r="DZ59" s="119"/>
      <c r="EA59" s="119"/>
      <c r="EB59" s="119"/>
      <c r="EC59" s="119"/>
      <c r="ED59" s="119"/>
      <c r="EE59" s="119"/>
      <c r="EF59" s="119"/>
      <c r="EG59" s="119"/>
      <c r="EH59" s="119"/>
      <c r="EI59" s="119"/>
      <c r="EJ59" s="119"/>
      <c r="EK59" s="119"/>
      <c r="EL59" s="119"/>
      <c r="EM59" s="119"/>
      <c r="EN59" s="117"/>
      <c r="EO59" s="117"/>
      <c r="EP59" s="120"/>
      <c r="ER59" s="116"/>
      <c r="ES59" s="121"/>
      <c r="ET59" s="117"/>
      <c r="EU59" s="118"/>
      <c r="EV59" s="118"/>
      <c r="EW59" s="118"/>
      <c r="EX59" s="118"/>
      <c r="EY59" s="118"/>
      <c r="EZ59" s="118"/>
      <c r="FA59" s="118"/>
      <c r="FB59" s="117"/>
      <c r="FC59" s="119"/>
      <c r="FD59" s="119"/>
      <c r="FE59" s="119"/>
      <c r="FF59" s="119"/>
      <c r="FG59" s="119"/>
      <c r="FH59" s="119"/>
      <c r="FI59" s="119"/>
      <c r="FJ59" s="119"/>
      <c r="FK59" s="119"/>
      <c r="FL59" s="119"/>
      <c r="FM59" s="119"/>
      <c r="FN59" s="119"/>
      <c r="FO59" s="119"/>
      <c r="FP59" s="119"/>
      <c r="FQ59" s="119"/>
      <c r="FR59" s="119"/>
      <c r="FS59" s="119"/>
      <c r="FT59" s="119"/>
      <c r="FU59" s="119"/>
      <c r="FV59" s="119"/>
      <c r="FW59" s="119"/>
      <c r="FX59" s="119"/>
      <c r="FY59" s="119"/>
      <c r="FZ59" s="119"/>
      <c r="GA59" s="119"/>
      <c r="GB59" s="119"/>
      <c r="GC59" s="119"/>
      <c r="GD59" s="119"/>
      <c r="GE59" s="119"/>
      <c r="GF59" s="119"/>
      <c r="GG59" s="119"/>
      <c r="GH59" s="119"/>
      <c r="GI59" s="119"/>
      <c r="GJ59" s="119"/>
      <c r="GK59" s="119"/>
      <c r="GL59" s="119"/>
      <c r="GM59" s="119"/>
      <c r="GN59" s="119"/>
      <c r="GO59" s="119"/>
      <c r="GP59" s="119"/>
      <c r="GQ59" s="119"/>
      <c r="GR59" s="119"/>
      <c r="GS59" s="119"/>
      <c r="GT59" s="119"/>
      <c r="GU59" s="119"/>
      <c r="GV59" s="119"/>
      <c r="GW59" s="119"/>
      <c r="GX59" s="119"/>
      <c r="GY59" s="119"/>
      <c r="GZ59" s="119"/>
      <c r="HA59" s="119"/>
      <c r="HB59" s="119"/>
      <c r="HC59" s="119"/>
      <c r="HD59" s="119"/>
      <c r="HE59" s="119"/>
      <c r="HF59" s="119"/>
      <c r="HG59" s="119"/>
      <c r="HH59" s="119"/>
      <c r="HI59" s="119"/>
      <c r="HJ59" s="119"/>
      <c r="HK59" s="119"/>
      <c r="HL59" s="119"/>
      <c r="HM59" s="119"/>
      <c r="HN59" s="119"/>
      <c r="HO59" s="119"/>
      <c r="HP59" s="119"/>
      <c r="HQ59" s="119"/>
      <c r="HR59" s="119"/>
      <c r="HS59" s="119"/>
      <c r="HT59" s="119"/>
      <c r="HU59" s="119"/>
      <c r="HV59" s="119"/>
      <c r="HW59" s="119"/>
      <c r="HX59" s="119"/>
      <c r="HY59" s="119"/>
      <c r="HZ59" s="117"/>
      <c r="IA59" s="117"/>
      <c r="IB59" s="120"/>
    </row>
    <row r="60" spans="3:236" ht="3.75" customHeight="1">
      <c r="C60" s="73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5"/>
      <c r="BC60" s="116"/>
      <c r="BD60" s="117"/>
      <c r="BE60" s="118"/>
      <c r="BF60" s="118"/>
      <c r="BG60" s="118"/>
      <c r="BH60" s="118"/>
      <c r="BI60" s="118"/>
      <c r="BJ60" s="118"/>
      <c r="BK60" s="118"/>
      <c r="BL60" s="117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  <c r="BZ60" s="119"/>
      <c r="CA60" s="119"/>
      <c r="CB60" s="119"/>
      <c r="CC60" s="119"/>
      <c r="CD60" s="119"/>
      <c r="CE60" s="119"/>
      <c r="CF60" s="119"/>
      <c r="CG60" s="119"/>
      <c r="CH60" s="119"/>
      <c r="CI60" s="119"/>
      <c r="CJ60" s="119"/>
      <c r="CK60" s="119"/>
      <c r="CL60" s="119"/>
      <c r="CM60" s="119"/>
      <c r="CN60" s="119"/>
      <c r="CO60" s="119"/>
      <c r="CP60" s="119"/>
      <c r="CQ60" s="119"/>
      <c r="CR60" s="119"/>
      <c r="CS60" s="119"/>
      <c r="CT60" s="119"/>
      <c r="CU60" s="119"/>
      <c r="CV60" s="119"/>
      <c r="CW60" s="119"/>
      <c r="CX60" s="119"/>
      <c r="CY60" s="119"/>
      <c r="CZ60" s="119"/>
      <c r="DA60" s="119"/>
      <c r="DB60" s="119"/>
      <c r="DC60" s="119"/>
      <c r="DD60" s="119"/>
      <c r="DE60" s="119"/>
      <c r="DF60" s="119"/>
      <c r="DG60" s="119"/>
      <c r="DH60" s="119"/>
      <c r="DI60" s="119"/>
      <c r="DJ60" s="119"/>
      <c r="DK60" s="119"/>
      <c r="DL60" s="119"/>
      <c r="DM60" s="119"/>
      <c r="DN60" s="119"/>
      <c r="DO60" s="119"/>
      <c r="DP60" s="119"/>
      <c r="DQ60" s="119"/>
      <c r="DR60" s="119"/>
      <c r="DS60" s="119"/>
      <c r="DT60" s="119"/>
      <c r="DU60" s="119"/>
      <c r="DV60" s="119"/>
      <c r="DW60" s="119"/>
      <c r="DX60" s="119"/>
      <c r="DY60" s="119"/>
      <c r="DZ60" s="119"/>
      <c r="EA60" s="119"/>
      <c r="EB60" s="119"/>
      <c r="EC60" s="119"/>
      <c r="ED60" s="119"/>
      <c r="EE60" s="119"/>
      <c r="EF60" s="119"/>
      <c r="EG60" s="119"/>
      <c r="EH60" s="119"/>
      <c r="EI60" s="119"/>
      <c r="EJ60" s="119"/>
      <c r="EK60" s="119"/>
      <c r="EL60" s="119"/>
      <c r="EM60" s="119"/>
      <c r="EN60" s="117"/>
      <c r="EO60" s="117"/>
      <c r="EP60" s="120"/>
      <c r="ER60" s="116"/>
      <c r="ES60" s="121"/>
      <c r="ET60" s="117"/>
      <c r="EU60" s="118"/>
      <c r="EV60" s="118"/>
      <c r="EW60" s="118"/>
      <c r="EX60" s="118"/>
      <c r="EY60" s="118"/>
      <c r="EZ60" s="118"/>
      <c r="FA60" s="118"/>
      <c r="FB60" s="117"/>
      <c r="FC60" s="119"/>
      <c r="FD60" s="119"/>
      <c r="FE60" s="119"/>
      <c r="FF60" s="119"/>
      <c r="FG60" s="119"/>
      <c r="FH60" s="119"/>
      <c r="FI60" s="119"/>
      <c r="FJ60" s="119"/>
      <c r="FK60" s="119"/>
      <c r="FL60" s="119"/>
      <c r="FM60" s="119"/>
      <c r="FN60" s="119"/>
      <c r="FO60" s="119"/>
      <c r="FP60" s="119"/>
      <c r="FQ60" s="119"/>
      <c r="FR60" s="119"/>
      <c r="FS60" s="119"/>
      <c r="FT60" s="119"/>
      <c r="FU60" s="119"/>
      <c r="FV60" s="119"/>
      <c r="FW60" s="119"/>
      <c r="FX60" s="119"/>
      <c r="FY60" s="119"/>
      <c r="FZ60" s="119"/>
      <c r="GA60" s="119"/>
      <c r="GB60" s="119"/>
      <c r="GC60" s="119"/>
      <c r="GD60" s="119"/>
      <c r="GE60" s="119"/>
      <c r="GF60" s="119"/>
      <c r="GG60" s="119"/>
      <c r="GH60" s="119"/>
      <c r="GI60" s="119"/>
      <c r="GJ60" s="119"/>
      <c r="GK60" s="119"/>
      <c r="GL60" s="119"/>
      <c r="GM60" s="119"/>
      <c r="GN60" s="119"/>
      <c r="GO60" s="119"/>
      <c r="GP60" s="119"/>
      <c r="GQ60" s="119"/>
      <c r="GR60" s="119"/>
      <c r="GS60" s="119"/>
      <c r="GT60" s="119"/>
      <c r="GU60" s="119"/>
      <c r="GV60" s="119"/>
      <c r="GW60" s="119"/>
      <c r="GX60" s="119"/>
      <c r="GY60" s="119"/>
      <c r="GZ60" s="119"/>
      <c r="HA60" s="119"/>
      <c r="HB60" s="119"/>
      <c r="HC60" s="119"/>
      <c r="HD60" s="119"/>
      <c r="HE60" s="119"/>
      <c r="HF60" s="119"/>
      <c r="HG60" s="119"/>
      <c r="HH60" s="119"/>
      <c r="HI60" s="119"/>
      <c r="HJ60" s="119"/>
      <c r="HK60" s="119"/>
      <c r="HL60" s="119"/>
      <c r="HM60" s="119"/>
      <c r="HN60" s="119"/>
      <c r="HO60" s="119"/>
      <c r="HP60" s="119"/>
      <c r="HQ60" s="119"/>
      <c r="HR60" s="119"/>
      <c r="HS60" s="119"/>
      <c r="HT60" s="119"/>
      <c r="HU60" s="119"/>
      <c r="HV60" s="119"/>
      <c r="HW60" s="119"/>
      <c r="HX60" s="119"/>
      <c r="HY60" s="119"/>
      <c r="HZ60" s="117"/>
      <c r="IA60" s="117"/>
      <c r="IB60" s="120"/>
    </row>
    <row r="61" spans="3:236" ht="3.75" customHeight="1">
      <c r="C61" s="122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4"/>
      <c r="BC61" s="116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7"/>
      <c r="DI61" s="117"/>
      <c r="DJ61" s="117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  <c r="EL61" s="117"/>
      <c r="EM61" s="117"/>
      <c r="EN61" s="117"/>
      <c r="EO61" s="117"/>
      <c r="EP61" s="120"/>
      <c r="ER61" s="116"/>
      <c r="ES61" s="121"/>
      <c r="ET61" s="117"/>
      <c r="EU61" s="117"/>
      <c r="EV61" s="117"/>
      <c r="EW61" s="117"/>
      <c r="EX61" s="117"/>
      <c r="EY61" s="117"/>
      <c r="EZ61" s="117"/>
      <c r="FA61" s="117"/>
      <c r="FB61" s="117"/>
      <c r="FC61" s="117"/>
      <c r="FD61" s="117"/>
      <c r="FE61" s="117"/>
      <c r="FF61" s="117"/>
      <c r="FG61" s="117"/>
      <c r="FH61" s="117"/>
      <c r="FI61" s="117"/>
      <c r="FJ61" s="117"/>
      <c r="FK61" s="117"/>
      <c r="FL61" s="117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  <c r="GJ61" s="117"/>
      <c r="GK61" s="117"/>
      <c r="GL61" s="117"/>
      <c r="GM61" s="117"/>
      <c r="GN61" s="117"/>
      <c r="GO61" s="117"/>
      <c r="GP61" s="117"/>
      <c r="GQ61" s="117"/>
      <c r="GR61" s="117"/>
      <c r="GS61" s="117"/>
      <c r="GT61" s="117"/>
      <c r="GU61" s="117"/>
      <c r="GV61" s="117"/>
      <c r="GW61" s="117"/>
      <c r="GX61" s="117"/>
      <c r="GY61" s="117"/>
      <c r="GZ61" s="117"/>
      <c r="HA61" s="117"/>
      <c r="HB61" s="117"/>
      <c r="HC61" s="117"/>
      <c r="HD61" s="117"/>
      <c r="HE61" s="117"/>
      <c r="HF61" s="117"/>
      <c r="HG61" s="117"/>
      <c r="HH61" s="117"/>
      <c r="HI61" s="117"/>
      <c r="HJ61" s="117"/>
      <c r="HK61" s="117"/>
      <c r="HL61" s="117"/>
      <c r="HM61" s="117"/>
      <c r="HN61" s="117"/>
      <c r="HO61" s="117"/>
      <c r="HP61" s="117"/>
      <c r="HQ61" s="117"/>
      <c r="HR61" s="117"/>
      <c r="HS61" s="117"/>
      <c r="HT61" s="117"/>
      <c r="HU61" s="117"/>
      <c r="HV61" s="117"/>
      <c r="HW61" s="117"/>
      <c r="HX61" s="117"/>
      <c r="HY61" s="117"/>
      <c r="HZ61" s="117"/>
      <c r="IA61" s="117"/>
      <c r="IB61" s="120"/>
    </row>
    <row r="62" spans="3:236" ht="3.75" customHeight="1">
      <c r="BC62" s="116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0"/>
      <c r="ER62" s="116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  <c r="GQ62" s="121"/>
      <c r="GR62" s="121"/>
      <c r="GS62" s="121"/>
      <c r="GT62" s="121"/>
      <c r="GU62" s="121"/>
      <c r="GV62" s="121"/>
      <c r="GW62" s="121"/>
      <c r="GX62" s="121"/>
      <c r="GY62" s="121"/>
      <c r="GZ62" s="121"/>
      <c r="HA62" s="121"/>
      <c r="HB62" s="121"/>
      <c r="HC62" s="121"/>
      <c r="HD62" s="121"/>
      <c r="HE62" s="121"/>
      <c r="HF62" s="121"/>
      <c r="HG62" s="121"/>
      <c r="HH62" s="121"/>
      <c r="HI62" s="121"/>
      <c r="HJ62" s="121"/>
      <c r="HK62" s="121"/>
      <c r="HL62" s="121"/>
      <c r="HM62" s="121"/>
      <c r="HN62" s="121"/>
      <c r="HO62" s="121"/>
      <c r="HP62" s="121"/>
      <c r="HQ62" s="121"/>
      <c r="HR62" s="121"/>
      <c r="HS62" s="121"/>
      <c r="HT62" s="121"/>
      <c r="HU62" s="121"/>
      <c r="HV62" s="121"/>
      <c r="HW62" s="121"/>
      <c r="HX62" s="121"/>
      <c r="HY62" s="121"/>
      <c r="HZ62" s="121"/>
      <c r="IA62" s="121"/>
      <c r="IB62" s="120"/>
    </row>
    <row r="63" spans="3:236" ht="3.75" customHeight="1">
      <c r="BC63" s="116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0"/>
      <c r="ER63" s="116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  <c r="GQ63" s="121"/>
      <c r="GR63" s="121"/>
      <c r="GS63" s="121"/>
      <c r="GT63" s="121"/>
      <c r="GU63" s="121"/>
      <c r="GV63" s="121"/>
      <c r="GW63" s="121"/>
      <c r="GX63" s="121"/>
      <c r="GY63" s="121"/>
      <c r="GZ63" s="121"/>
      <c r="HA63" s="121"/>
      <c r="HB63" s="121"/>
      <c r="HC63" s="121"/>
      <c r="HD63" s="121"/>
      <c r="HE63" s="121"/>
      <c r="HF63" s="121"/>
      <c r="HG63" s="121"/>
      <c r="HH63" s="121"/>
      <c r="HI63" s="121"/>
      <c r="HJ63" s="121"/>
      <c r="HK63" s="121"/>
      <c r="HL63" s="121"/>
      <c r="HM63" s="121"/>
      <c r="HN63" s="121"/>
      <c r="HO63" s="121"/>
      <c r="HP63" s="121"/>
      <c r="HQ63" s="121"/>
      <c r="HR63" s="121"/>
      <c r="HS63" s="121"/>
      <c r="HT63" s="121"/>
      <c r="HU63" s="121"/>
      <c r="HV63" s="121"/>
      <c r="HW63" s="121"/>
      <c r="HX63" s="121"/>
      <c r="HY63" s="121"/>
      <c r="HZ63" s="121"/>
      <c r="IA63" s="121"/>
      <c r="IB63" s="120"/>
    </row>
    <row r="64" spans="3:236" ht="3.75" customHeight="1">
      <c r="C64" s="125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7"/>
      <c r="BC64" s="116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0"/>
      <c r="ER64" s="116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  <c r="GQ64" s="121"/>
      <c r="GR64" s="121"/>
      <c r="GS64" s="121"/>
      <c r="GT64" s="121"/>
      <c r="GU64" s="121"/>
      <c r="GV64" s="121"/>
      <c r="GW64" s="121"/>
      <c r="GX64" s="121"/>
      <c r="GY64" s="121"/>
      <c r="GZ64" s="121"/>
      <c r="HA64" s="121"/>
      <c r="HB64" s="121"/>
      <c r="HC64" s="121"/>
      <c r="HD64" s="121"/>
      <c r="HE64" s="121"/>
      <c r="HF64" s="121"/>
      <c r="HG64" s="121"/>
      <c r="HH64" s="121"/>
      <c r="HI64" s="121"/>
      <c r="HJ64" s="121"/>
      <c r="HK64" s="121"/>
      <c r="HL64" s="121"/>
      <c r="HM64" s="121"/>
      <c r="HN64" s="121"/>
      <c r="HO64" s="121"/>
      <c r="HP64" s="121"/>
      <c r="HQ64" s="121"/>
      <c r="HR64" s="121"/>
      <c r="HS64" s="121"/>
      <c r="HT64" s="121"/>
      <c r="HU64" s="121"/>
      <c r="HV64" s="121"/>
      <c r="HW64" s="121"/>
      <c r="HX64" s="121"/>
      <c r="HY64" s="121"/>
      <c r="HZ64" s="121"/>
      <c r="IA64" s="121"/>
      <c r="IB64" s="120"/>
    </row>
    <row r="65" spans="3:236" ht="3.75" customHeight="1">
      <c r="C65" s="128"/>
      <c r="D65" s="129"/>
      <c r="E65" s="130" t="s">
        <v>1056</v>
      </c>
      <c r="F65" s="130"/>
      <c r="G65" s="130"/>
      <c r="H65" s="130"/>
      <c r="I65" s="130"/>
      <c r="J65" s="130"/>
      <c r="K65" s="130"/>
      <c r="L65" s="130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31"/>
      <c r="BC65" s="116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0"/>
      <c r="ER65" s="116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  <c r="GQ65" s="121"/>
      <c r="GR65" s="121"/>
      <c r="GS65" s="121"/>
      <c r="GT65" s="121"/>
      <c r="GU65" s="121"/>
      <c r="GV65" s="121"/>
      <c r="GW65" s="121"/>
      <c r="GX65" s="121"/>
      <c r="GY65" s="121"/>
      <c r="GZ65" s="121"/>
      <c r="HA65" s="121"/>
      <c r="HB65" s="121"/>
      <c r="HC65" s="121"/>
      <c r="HD65" s="121"/>
      <c r="HE65" s="121"/>
      <c r="HF65" s="121"/>
      <c r="HG65" s="121"/>
      <c r="HH65" s="121"/>
      <c r="HI65" s="121"/>
      <c r="HJ65" s="121"/>
      <c r="HK65" s="121"/>
      <c r="HL65" s="121"/>
      <c r="HM65" s="121"/>
      <c r="HN65" s="121"/>
      <c r="HO65" s="121"/>
      <c r="HP65" s="121"/>
      <c r="HQ65" s="121"/>
      <c r="HR65" s="121"/>
      <c r="HS65" s="121"/>
      <c r="HT65" s="121"/>
      <c r="HU65" s="121"/>
      <c r="HV65" s="121"/>
      <c r="HW65" s="121"/>
      <c r="HX65" s="121"/>
      <c r="HY65" s="121"/>
      <c r="HZ65" s="121"/>
      <c r="IA65" s="121"/>
      <c r="IB65" s="120"/>
    </row>
    <row r="66" spans="3:236" ht="3.75" customHeight="1">
      <c r="C66" s="128"/>
      <c r="D66" s="129"/>
      <c r="E66" s="130"/>
      <c r="F66" s="130"/>
      <c r="G66" s="130"/>
      <c r="H66" s="130"/>
      <c r="I66" s="130"/>
      <c r="J66" s="130"/>
      <c r="K66" s="130"/>
      <c r="L66" s="130"/>
      <c r="M66" s="129"/>
      <c r="N66" s="132" t="s">
        <v>1057</v>
      </c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1"/>
      <c r="BC66" s="116"/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21"/>
      <c r="CO66" s="121"/>
      <c r="CP66" s="121"/>
      <c r="CQ66" s="121"/>
      <c r="CR66" s="121"/>
      <c r="CS66" s="121"/>
      <c r="CT66" s="121"/>
      <c r="CU66" s="121"/>
      <c r="CV66" s="121"/>
      <c r="CW66" s="121"/>
      <c r="CX66" s="121"/>
      <c r="CY66" s="121"/>
      <c r="CZ66" s="121"/>
      <c r="DA66" s="121"/>
      <c r="DB66" s="121"/>
      <c r="DC66" s="121"/>
      <c r="DD66" s="121"/>
      <c r="DE66" s="121"/>
      <c r="DF66" s="121"/>
      <c r="DG66" s="121"/>
      <c r="DH66" s="121"/>
      <c r="DI66" s="121"/>
      <c r="DJ66" s="121"/>
      <c r="DK66" s="121"/>
      <c r="DL66" s="121"/>
      <c r="DM66" s="121"/>
      <c r="DN66" s="121"/>
      <c r="DO66" s="121"/>
      <c r="DP66" s="121"/>
      <c r="DQ66" s="121"/>
      <c r="DR66" s="121"/>
      <c r="DS66" s="121"/>
      <c r="DT66" s="121"/>
      <c r="DU66" s="121"/>
      <c r="DV66" s="121"/>
      <c r="DW66" s="121"/>
      <c r="DX66" s="121"/>
      <c r="DY66" s="121"/>
      <c r="DZ66" s="121"/>
      <c r="EA66" s="121"/>
      <c r="EB66" s="121"/>
      <c r="EC66" s="121"/>
      <c r="ED66" s="121"/>
      <c r="EE66" s="121"/>
      <c r="EF66" s="121"/>
      <c r="EG66" s="121"/>
      <c r="EH66" s="121"/>
      <c r="EI66" s="121"/>
      <c r="EJ66" s="121"/>
      <c r="EK66" s="121"/>
      <c r="EL66" s="121"/>
      <c r="EM66" s="121"/>
      <c r="EN66" s="121"/>
      <c r="EO66" s="121"/>
      <c r="EP66" s="120"/>
      <c r="ER66" s="116"/>
      <c r="ES66" s="121"/>
      <c r="ET66" s="121"/>
      <c r="EU66" s="121"/>
      <c r="EV66" s="121"/>
      <c r="EW66" s="121"/>
      <c r="EX66" s="121"/>
      <c r="EY66" s="121"/>
      <c r="EZ66" s="121"/>
      <c r="FA66" s="121"/>
      <c r="FB66" s="121"/>
      <c r="FC66" s="121"/>
      <c r="FD66" s="121"/>
      <c r="FE66" s="121"/>
      <c r="FF66" s="121"/>
      <c r="FG66" s="121"/>
      <c r="FH66" s="121"/>
      <c r="FI66" s="121"/>
      <c r="FJ66" s="121"/>
      <c r="FK66" s="121"/>
      <c r="FL66" s="121"/>
      <c r="FM66" s="121"/>
      <c r="FN66" s="121"/>
      <c r="FO66" s="121"/>
      <c r="FP66" s="121"/>
      <c r="FQ66" s="121"/>
      <c r="FR66" s="121"/>
      <c r="FS66" s="121"/>
      <c r="FT66" s="121"/>
      <c r="FU66" s="121"/>
      <c r="FV66" s="121"/>
      <c r="FW66" s="121"/>
      <c r="FX66" s="121"/>
      <c r="FY66" s="121"/>
      <c r="FZ66" s="121"/>
      <c r="GA66" s="121"/>
      <c r="GB66" s="121"/>
      <c r="GC66" s="121"/>
      <c r="GD66" s="121"/>
      <c r="GE66" s="121"/>
      <c r="GF66" s="121"/>
      <c r="GG66" s="121"/>
      <c r="GH66" s="121"/>
      <c r="GI66" s="121"/>
      <c r="GJ66" s="121"/>
      <c r="GK66" s="121"/>
      <c r="GL66" s="121"/>
      <c r="GM66" s="121"/>
      <c r="GN66" s="121"/>
      <c r="GO66" s="121"/>
      <c r="GP66" s="121"/>
      <c r="GQ66" s="121"/>
      <c r="GR66" s="121"/>
      <c r="GS66" s="121"/>
      <c r="GT66" s="121"/>
      <c r="GU66" s="121"/>
      <c r="GV66" s="121"/>
      <c r="GW66" s="121"/>
      <c r="GX66" s="121"/>
      <c r="GY66" s="121"/>
      <c r="GZ66" s="121"/>
      <c r="HA66" s="121"/>
      <c r="HB66" s="121"/>
      <c r="HC66" s="121"/>
      <c r="HD66" s="121"/>
      <c r="HE66" s="121"/>
      <c r="HF66" s="121"/>
      <c r="HG66" s="121"/>
      <c r="HH66" s="121"/>
      <c r="HI66" s="121"/>
      <c r="HJ66" s="121"/>
      <c r="HK66" s="121"/>
      <c r="HL66" s="121"/>
      <c r="HM66" s="121"/>
      <c r="HN66" s="121"/>
      <c r="HO66" s="121"/>
      <c r="HP66" s="121"/>
      <c r="HQ66" s="121"/>
      <c r="HR66" s="121"/>
      <c r="HS66" s="121"/>
      <c r="HT66" s="121"/>
      <c r="HU66" s="121"/>
      <c r="HV66" s="121"/>
      <c r="HW66" s="121"/>
      <c r="HX66" s="121"/>
      <c r="HY66" s="121"/>
      <c r="HZ66" s="121"/>
      <c r="IA66" s="121"/>
      <c r="IB66" s="120"/>
    </row>
    <row r="67" spans="3:236" ht="3.75" customHeight="1">
      <c r="C67" s="128"/>
      <c r="D67" s="129"/>
      <c r="E67" s="130"/>
      <c r="F67" s="130"/>
      <c r="G67" s="130"/>
      <c r="H67" s="130"/>
      <c r="I67" s="130"/>
      <c r="J67" s="130"/>
      <c r="K67" s="130"/>
      <c r="L67" s="130"/>
      <c r="M67" s="129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1"/>
      <c r="BC67" s="116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0"/>
      <c r="ER67" s="116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  <c r="GQ67" s="121"/>
      <c r="GR67" s="121"/>
      <c r="GS67" s="121"/>
      <c r="GT67" s="121"/>
      <c r="GU67" s="121"/>
      <c r="GV67" s="121"/>
      <c r="GW67" s="121"/>
      <c r="GX67" s="121"/>
      <c r="GY67" s="121"/>
      <c r="GZ67" s="121"/>
      <c r="HA67" s="121"/>
      <c r="HB67" s="121"/>
      <c r="HC67" s="121"/>
      <c r="HD67" s="121"/>
      <c r="HE67" s="121"/>
      <c r="HF67" s="121"/>
      <c r="HG67" s="121"/>
      <c r="HH67" s="121"/>
      <c r="HI67" s="121"/>
      <c r="HJ67" s="121"/>
      <c r="HK67" s="121"/>
      <c r="HL67" s="121"/>
      <c r="HM67" s="121"/>
      <c r="HN67" s="121"/>
      <c r="HO67" s="121"/>
      <c r="HP67" s="121"/>
      <c r="HQ67" s="121"/>
      <c r="HR67" s="121"/>
      <c r="HS67" s="121"/>
      <c r="HT67" s="121"/>
      <c r="HU67" s="121"/>
      <c r="HV67" s="121"/>
      <c r="HW67" s="121"/>
      <c r="HX67" s="121"/>
      <c r="HY67" s="121"/>
      <c r="HZ67" s="121"/>
      <c r="IA67" s="121"/>
      <c r="IB67" s="120"/>
    </row>
    <row r="68" spans="3:236" ht="3.75" customHeight="1">
      <c r="C68" s="128"/>
      <c r="D68" s="129"/>
      <c r="E68" s="130"/>
      <c r="F68" s="130"/>
      <c r="G68" s="130"/>
      <c r="H68" s="130"/>
      <c r="I68" s="130"/>
      <c r="J68" s="130"/>
      <c r="K68" s="130"/>
      <c r="L68" s="130"/>
      <c r="M68" s="129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1"/>
      <c r="BC68" s="116"/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1"/>
      <c r="DE68" s="121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21"/>
      <c r="DQ68" s="121"/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21"/>
      <c r="ED68" s="121"/>
      <c r="EE68" s="121"/>
      <c r="EF68" s="121"/>
      <c r="EG68" s="121"/>
      <c r="EH68" s="121"/>
      <c r="EI68" s="121"/>
      <c r="EJ68" s="121"/>
      <c r="EK68" s="121"/>
      <c r="EL68" s="121"/>
      <c r="EM68" s="121"/>
      <c r="EN68" s="121"/>
      <c r="EO68" s="121"/>
      <c r="EP68" s="120"/>
      <c r="ER68" s="116"/>
      <c r="ES68" s="121"/>
      <c r="ET68" s="121"/>
      <c r="EU68" s="121"/>
      <c r="EV68" s="121"/>
      <c r="EW68" s="121"/>
      <c r="EX68" s="121"/>
      <c r="EY68" s="121"/>
      <c r="EZ68" s="121"/>
      <c r="FA68" s="121"/>
      <c r="FB68" s="121"/>
      <c r="FC68" s="121"/>
      <c r="FD68" s="121"/>
      <c r="FE68" s="121"/>
      <c r="FF68" s="121"/>
      <c r="FG68" s="121"/>
      <c r="FH68" s="121"/>
      <c r="FI68" s="121"/>
      <c r="FJ68" s="121"/>
      <c r="FK68" s="121"/>
      <c r="FL68" s="121"/>
      <c r="FM68" s="121"/>
      <c r="FN68" s="121"/>
      <c r="FO68" s="121"/>
      <c r="FP68" s="121"/>
      <c r="FQ68" s="121"/>
      <c r="FR68" s="121"/>
      <c r="FS68" s="121"/>
      <c r="FT68" s="121"/>
      <c r="FU68" s="121"/>
      <c r="FV68" s="121"/>
      <c r="FW68" s="121"/>
      <c r="FX68" s="121"/>
      <c r="FY68" s="121"/>
      <c r="FZ68" s="121"/>
      <c r="GA68" s="121"/>
      <c r="GB68" s="121"/>
      <c r="GC68" s="121"/>
      <c r="GD68" s="121"/>
      <c r="GE68" s="121"/>
      <c r="GF68" s="121"/>
      <c r="GG68" s="121"/>
      <c r="GH68" s="121"/>
      <c r="GI68" s="121"/>
      <c r="GJ68" s="121"/>
      <c r="GK68" s="121"/>
      <c r="GL68" s="121"/>
      <c r="GM68" s="121"/>
      <c r="GN68" s="121"/>
      <c r="GO68" s="121"/>
      <c r="GP68" s="121"/>
      <c r="GQ68" s="121"/>
      <c r="GR68" s="121"/>
      <c r="GS68" s="121"/>
      <c r="GT68" s="121"/>
      <c r="GU68" s="121"/>
      <c r="GV68" s="121"/>
      <c r="GW68" s="121"/>
      <c r="GX68" s="121"/>
      <c r="GY68" s="121"/>
      <c r="GZ68" s="121"/>
      <c r="HA68" s="121"/>
      <c r="HB68" s="121"/>
      <c r="HC68" s="121"/>
      <c r="HD68" s="121"/>
      <c r="HE68" s="121"/>
      <c r="HF68" s="121"/>
      <c r="HG68" s="121"/>
      <c r="HH68" s="121"/>
      <c r="HI68" s="121"/>
      <c r="HJ68" s="121"/>
      <c r="HK68" s="121"/>
      <c r="HL68" s="121"/>
      <c r="HM68" s="121"/>
      <c r="HN68" s="121"/>
      <c r="HO68" s="121"/>
      <c r="HP68" s="121"/>
      <c r="HQ68" s="121"/>
      <c r="HR68" s="121"/>
      <c r="HS68" s="121"/>
      <c r="HT68" s="121"/>
      <c r="HU68" s="121"/>
      <c r="HV68" s="121"/>
      <c r="HW68" s="121"/>
      <c r="HX68" s="121"/>
      <c r="HY68" s="121"/>
      <c r="HZ68" s="121"/>
      <c r="IA68" s="121"/>
      <c r="IB68" s="120"/>
    </row>
    <row r="69" spans="3:236" ht="3.75" customHeight="1">
      <c r="C69" s="128"/>
      <c r="D69" s="129"/>
      <c r="E69" s="130"/>
      <c r="F69" s="130"/>
      <c r="G69" s="130"/>
      <c r="H69" s="130"/>
      <c r="I69" s="130"/>
      <c r="J69" s="130"/>
      <c r="K69" s="130"/>
      <c r="L69" s="130"/>
      <c r="M69" s="129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1"/>
      <c r="BC69" s="116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0"/>
      <c r="ER69" s="116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  <c r="GQ69" s="121"/>
      <c r="GR69" s="121"/>
      <c r="GS69" s="121"/>
      <c r="GT69" s="121"/>
      <c r="GU69" s="121"/>
      <c r="GV69" s="121"/>
      <c r="GW69" s="121"/>
      <c r="GX69" s="121"/>
      <c r="GY69" s="121"/>
      <c r="GZ69" s="121"/>
      <c r="HA69" s="121"/>
      <c r="HB69" s="121"/>
      <c r="HC69" s="121"/>
      <c r="HD69" s="121"/>
      <c r="HE69" s="121"/>
      <c r="HF69" s="121"/>
      <c r="HG69" s="121"/>
      <c r="HH69" s="121"/>
      <c r="HI69" s="121"/>
      <c r="HJ69" s="121"/>
      <c r="HK69" s="121"/>
      <c r="HL69" s="121"/>
      <c r="HM69" s="121"/>
      <c r="HN69" s="121"/>
      <c r="HO69" s="121"/>
      <c r="HP69" s="121"/>
      <c r="HQ69" s="121"/>
      <c r="HR69" s="121"/>
      <c r="HS69" s="121"/>
      <c r="HT69" s="121"/>
      <c r="HU69" s="121"/>
      <c r="HV69" s="121"/>
      <c r="HW69" s="121"/>
      <c r="HX69" s="121"/>
      <c r="HY69" s="121"/>
      <c r="HZ69" s="121"/>
      <c r="IA69" s="121"/>
      <c r="IB69" s="120"/>
    </row>
    <row r="70" spans="3:236" ht="3.75" customHeight="1">
      <c r="C70" s="128"/>
      <c r="D70" s="129"/>
      <c r="E70" s="130"/>
      <c r="F70" s="130"/>
      <c r="G70" s="130"/>
      <c r="H70" s="130"/>
      <c r="I70" s="130"/>
      <c r="J70" s="130"/>
      <c r="K70" s="130"/>
      <c r="L70" s="130"/>
      <c r="M70" s="129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1"/>
      <c r="BC70" s="116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0"/>
      <c r="ER70" s="116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  <c r="GQ70" s="121"/>
      <c r="GR70" s="121"/>
      <c r="GS70" s="121"/>
      <c r="GT70" s="121"/>
      <c r="GU70" s="121"/>
      <c r="GV70" s="121"/>
      <c r="GW70" s="121"/>
      <c r="GX70" s="121"/>
      <c r="GY70" s="121"/>
      <c r="GZ70" s="121"/>
      <c r="HA70" s="121"/>
      <c r="HB70" s="121"/>
      <c r="HC70" s="121"/>
      <c r="HD70" s="121"/>
      <c r="HE70" s="121"/>
      <c r="HF70" s="121"/>
      <c r="HG70" s="121"/>
      <c r="HH70" s="121"/>
      <c r="HI70" s="121"/>
      <c r="HJ70" s="121"/>
      <c r="HK70" s="121"/>
      <c r="HL70" s="121"/>
      <c r="HM70" s="121"/>
      <c r="HN70" s="121"/>
      <c r="HO70" s="121"/>
      <c r="HP70" s="121"/>
      <c r="HQ70" s="121"/>
      <c r="HR70" s="121"/>
      <c r="HS70" s="121"/>
      <c r="HT70" s="121"/>
      <c r="HU70" s="121"/>
      <c r="HV70" s="121"/>
      <c r="HW70" s="121"/>
      <c r="HX70" s="121"/>
      <c r="HY70" s="121"/>
      <c r="HZ70" s="121"/>
      <c r="IA70" s="121"/>
      <c r="IB70" s="120"/>
    </row>
    <row r="71" spans="3:236" ht="3.75" customHeight="1">
      <c r="C71" s="128"/>
      <c r="D71" s="129"/>
      <c r="E71" s="130"/>
      <c r="F71" s="130"/>
      <c r="G71" s="130"/>
      <c r="H71" s="130"/>
      <c r="I71" s="130"/>
      <c r="J71" s="130"/>
      <c r="K71" s="130"/>
      <c r="L71" s="130"/>
      <c r="M71" s="129"/>
      <c r="N71" s="133" t="str">
        <f>(GETPIVOTDATA("Rides",'Pivot Table 4'!$A$3)-GETPIVOTDATA("Rated Rides",'Pivot Table 4'!$A$3))&amp;" driver ratings are blank and are excluded from the average rating."</f>
        <v>109 driver ratings are blank and are excluded from the average rating.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1"/>
      <c r="BC71" s="116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0"/>
      <c r="ER71" s="116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  <c r="GQ71" s="121"/>
      <c r="GR71" s="121"/>
      <c r="GS71" s="121"/>
      <c r="GT71" s="121"/>
      <c r="GU71" s="121"/>
      <c r="GV71" s="121"/>
      <c r="GW71" s="121"/>
      <c r="GX71" s="121"/>
      <c r="GY71" s="121"/>
      <c r="GZ71" s="121"/>
      <c r="HA71" s="121"/>
      <c r="HB71" s="121"/>
      <c r="HC71" s="121"/>
      <c r="HD71" s="121"/>
      <c r="HE71" s="121"/>
      <c r="HF71" s="121"/>
      <c r="HG71" s="121"/>
      <c r="HH71" s="121"/>
      <c r="HI71" s="121"/>
      <c r="HJ71" s="121"/>
      <c r="HK71" s="121"/>
      <c r="HL71" s="121"/>
      <c r="HM71" s="121"/>
      <c r="HN71" s="121"/>
      <c r="HO71" s="121"/>
      <c r="HP71" s="121"/>
      <c r="HQ71" s="121"/>
      <c r="HR71" s="121"/>
      <c r="HS71" s="121"/>
      <c r="HT71" s="121"/>
      <c r="HU71" s="121"/>
      <c r="HV71" s="121"/>
      <c r="HW71" s="121"/>
      <c r="HX71" s="121"/>
      <c r="HY71" s="121"/>
      <c r="HZ71" s="121"/>
      <c r="IA71" s="121"/>
      <c r="IB71" s="120"/>
    </row>
    <row r="72" spans="3:236" ht="3.75" customHeight="1">
      <c r="C72" s="128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1"/>
      <c r="BC72" s="116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0"/>
      <c r="ER72" s="116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  <c r="GQ72" s="121"/>
      <c r="GR72" s="121"/>
      <c r="GS72" s="121"/>
      <c r="GT72" s="121"/>
      <c r="GU72" s="121"/>
      <c r="GV72" s="121"/>
      <c r="GW72" s="121"/>
      <c r="GX72" s="121"/>
      <c r="GY72" s="121"/>
      <c r="GZ72" s="121"/>
      <c r="HA72" s="121"/>
      <c r="HB72" s="121"/>
      <c r="HC72" s="121"/>
      <c r="HD72" s="121"/>
      <c r="HE72" s="121"/>
      <c r="HF72" s="121"/>
      <c r="HG72" s="121"/>
      <c r="HH72" s="121"/>
      <c r="HI72" s="121"/>
      <c r="HJ72" s="121"/>
      <c r="HK72" s="121"/>
      <c r="HL72" s="121"/>
      <c r="HM72" s="121"/>
      <c r="HN72" s="121"/>
      <c r="HO72" s="121"/>
      <c r="HP72" s="121"/>
      <c r="HQ72" s="121"/>
      <c r="HR72" s="121"/>
      <c r="HS72" s="121"/>
      <c r="HT72" s="121"/>
      <c r="HU72" s="121"/>
      <c r="HV72" s="121"/>
      <c r="HW72" s="121"/>
      <c r="HX72" s="121"/>
      <c r="HY72" s="121"/>
      <c r="HZ72" s="121"/>
      <c r="IA72" s="121"/>
      <c r="IB72" s="120"/>
    </row>
    <row r="73" spans="3:236" ht="3.75" customHeight="1">
      <c r="C73" s="128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1"/>
      <c r="BC73" s="116"/>
      <c r="BD73" s="121"/>
      <c r="BE73" s="121"/>
      <c r="BF73" s="121"/>
      <c r="BG73" s="121"/>
      <c r="BH73" s="121"/>
      <c r="BI73" s="121"/>
      <c r="BJ73" s="121"/>
      <c r="BK73" s="121"/>
      <c r="BL73" s="121"/>
      <c r="BM73" s="121"/>
      <c r="BN73" s="121"/>
      <c r="BO73" s="121"/>
      <c r="BP73" s="121"/>
      <c r="BQ73" s="121"/>
      <c r="BR73" s="121"/>
      <c r="BS73" s="121"/>
      <c r="BT73" s="121"/>
      <c r="BU73" s="121"/>
      <c r="BV73" s="121"/>
      <c r="BW73" s="121"/>
      <c r="BX73" s="121"/>
      <c r="BY73" s="121"/>
      <c r="BZ73" s="121"/>
      <c r="CA73" s="121"/>
      <c r="CB73" s="121"/>
      <c r="CC73" s="121"/>
      <c r="CD73" s="121"/>
      <c r="CE73" s="121"/>
      <c r="CF73" s="121"/>
      <c r="CG73" s="121"/>
      <c r="CH73" s="121"/>
      <c r="CI73" s="121"/>
      <c r="CJ73" s="121"/>
      <c r="CK73" s="121"/>
      <c r="CL73" s="121"/>
      <c r="CM73" s="121"/>
      <c r="CN73" s="121"/>
      <c r="CO73" s="121"/>
      <c r="CP73" s="121"/>
      <c r="CQ73" s="121"/>
      <c r="CR73" s="121"/>
      <c r="CS73" s="121"/>
      <c r="CT73" s="121"/>
      <c r="CU73" s="121"/>
      <c r="CV73" s="121"/>
      <c r="CW73" s="121"/>
      <c r="CX73" s="121"/>
      <c r="CY73" s="121"/>
      <c r="CZ73" s="121"/>
      <c r="DA73" s="121"/>
      <c r="DB73" s="121"/>
      <c r="DC73" s="121"/>
      <c r="DD73" s="121"/>
      <c r="DE73" s="121"/>
      <c r="DF73" s="121"/>
      <c r="DG73" s="121"/>
      <c r="DH73" s="121"/>
      <c r="DI73" s="121"/>
      <c r="DJ73" s="121"/>
      <c r="DK73" s="121"/>
      <c r="DL73" s="121"/>
      <c r="DM73" s="121"/>
      <c r="DN73" s="121"/>
      <c r="DO73" s="121"/>
      <c r="DP73" s="121"/>
      <c r="DQ73" s="121"/>
      <c r="DR73" s="121"/>
      <c r="DS73" s="121"/>
      <c r="DT73" s="121"/>
      <c r="DU73" s="121"/>
      <c r="DV73" s="121"/>
      <c r="DW73" s="121"/>
      <c r="DX73" s="121"/>
      <c r="DY73" s="121"/>
      <c r="DZ73" s="121"/>
      <c r="EA73" s="121"/>
      <c r="EB73" s="121"/>
      <c r="EC73" s="121"/>
      <c r="ED73" s="121"/>
      <c r="EE73" s="121"/>
      <c r="EF73" s="121"/>
      <c r="EG73" s="121"/>
      <c r="EH73" s="121"/>
      <c r="EI73" s="121"/>
      <c r="EJ73" s="121"/>
      <c r="EK73" s="121"/>
      <c r="EL73" s="121"/>
      <c r="EM73" s="121"/>
      <c r="EN73" s="121"/>
      <c r="EO73" s="121"/>
      <c r="EP73" s="120"/>
      <c r="ER73" s="116"/>
      <c r="ES73" s="121"/>
      <c r="ET73" s="121"/>
      <c r="EU73" s="121"/>
      <c r="EV73" s="121"/>
      <c r="EW73" s="121"/>
      <c r="EX73" s="121"/>
      <c r="EY73" s="121"/>
      <c r="EZ73" s="121"/>
      <c r="FA73" s="121"/>
      <c r="FB73" s="121"/>
      <c r="FC73" s="121"/>
      <c r="FD73" s="121"/>
      <c r="FE73" s="121"/>
      <c r="FF73" s="121"/>
      <c r="FG73" s="121"/>
      <c r="FH73" s="121"/>
      <c r="FI73" s="121"/>
      <c r="FJ73" s="121"/>
      <c r="FK73" s="121"/>
      <c r="FL73" s="121"/>
      <c r="FM73" s="121"/>
      <c r="FN73" s="121"/>
      <c r="FO73" s="121"/>
      <c r="FP73" s="121"/>
      <c r="FQ73" s="121"/>
      <c r="FR73" s="121"/>
      <c r="FS73" s="121"/>
      <c r="FT73" s="121"/>
      <c r="FU73" s="121"/>
      <c r="FV73" s="121"/>
      <c r="FW73" s="121"/>
      <c r="FX73" s="121"/>
      <c r="FY73" s="121"/>
      <c r="FZ73" s="121"/>
      <c r="GA73" s="121"/>
      <c r="GB73" s="121"/>
      <c r="GC73" s="121"/>
      <c r="GD73" s="121"/>
      <c r="GE73" s="121"/>
      <c r="GF73" s="121"/>
      <c r="GG73" s="121"/>
      <c r="GH73" s="121"/>
      <c r="GI73" s="121"/>
      <c r="GJ73" s="121"/>
      <c r="GK73" s="121"/>
      <c r="GL73" s="121"/>
      <c r="GM73" s="121"/>
      <c r="GN73" s="121"/>
      <c r="GO73" s="121"/>
      <c r="GP73" s="121"/>
      <c r="GQ73" s="121"/>
      <c r="GR73" s="121"/>
      <c r="GS73" s="121"/>
      <c r="GT73" s="121"/>
      <c r="GU73" s="121"/>
      <c r="GV73" s="121"/>
      <c r="GW73" s="121"/>
      <c r="GX73" s="121"/>
      <c r="GY73" s="121"/>
      <c r="GZ73" s="121"/>
      <c r="HA73" s="121"/>
      <c r="HB73" s="121"/>
      <c r="HC73" s="121"/>
      <c r="HD73" s="121"/>
      <c r="HE73" s="121"/>
      <c r="HF73" s="121"/>
      <c r="HG73" s="121"/>
      <c r="HH73" s="121"/>
      <c r="HI73" s="121"/>
      <c r="HJ73" s="121"/>
      <c r="HK73" s="121"/>
      <c r="HL73" s="121"/>
      <c r="HM73" s="121"/>
      <c r="HN73" s="121"/>
      <c r="HO73" s="121"/>
      <c r="HP73" s="121"/>
      <c r="HQ73" s="121"/>
      <c r="HR73" s="121"/>
      <c r="HS73" s="121"/>
      <c r="HT73" s="121"/>
      <c r="HU73" s="121"/>
      <c r="HV73" s="121"/>
      <c r="HW73" s="121"/>
      <c r="HX73" s="121"/>
      <c r="HY73" s="121"/>
      <c r="HZ73" s="121"/>
      <c r="IA73" s="121"/>
      <c r="IB73" s="120"/>
    </row>
    <row r="74" spans="3:236" ht="3.75" customHeight="1">
      <c r="C74" s="128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1"/>
      <c r="BC74" s="116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0"/>
      <c r="ER74" s="116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  <c r="GQ74" s="121"/>
      <c r="GR74" s="121"/>
      <c r="GS74" s="121"/>
      <c r="GT74" s="121"/>
      <c r="GU74" s="121"/>
      <c r="GV74" s="121"/>
      <c r="GW74" s="121"/>
      <c r="GX74" s="121"/>
      <c r="GY74" s="121"/>
      <c r="GZ74" s="121"/>
      <c r="HA74" s="121"/>
      <c r="HB74" s="121"/>
      <c r="HC74" s="121"/>
      <c r="HD74" s="121"/>
      <c r="HE74" s="121"/>
      <c r="HF74" s="121"/>
      <c r="HG74" s="121"/>
      <c r="HH74" s="121"/>
      <c r="HI74" s="121"/>
      <c r="HJ74" s="121"/>
      <c r="HK74" s="121"/>
      <c r="HL74" s="121"/>
      <c r="HM74" s="121"/>
      <c r="HN74" s="121"/>
      <c r="HO74" s="121"/>
      <c r="HP74" s="121"/>
      <c r="HQ74" s="121"/>
      <c r="HR74" s="121"/>
      <c r="HS74" s="121"/>
      <c r="HT74" s="121"/>
      <c r="HU74" s="121"/>
      <c r="HV74" s="121"/>
      <c r="HW74" s="121"/>
      <c r="HX74" s="121"/>
      <c r="HY74" s="121"/>
      <c r="HZ74" s="121"/>
      <c r="IA74" s="121"/>
      <c r="IB74" s="120"/>
    </row>
    <row r="75" spans="3:236" ht="3.75" customHeight="1">
      <c r="C75" s="128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1"/>
      <c r="BC75" s="116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0"/>
      <c r="ER75" s="116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  <c r="GQ75" s="121"/>
      <c r="GR75" s="121"/>
      <c r="GS75" s="121"/>
      <c r="GT75" s="121"/>
      <c r="GU75" s="121"/>
      <c r="GV75" s="121"/>
      <c r="GW75" s="121"/>
      <c r="GX75" s="121"/>
      <c r="GY75" s="121"/>
      <c r="GZ75" s="121"/>
      <c r="HA75" s="121"/>
      <c r="HB75" s="121"/>
      <c r="HC75" s="121"/>
      <c r="HD75" s="121"/>
      <c r="HE75" s="121"/>
      <c r="HF75" s="121"/>
      <c r="HG75" s="121"/>
      <c r="HH75" s="121"/>
      <c r="HI75" s="121"/>
      <c r="HJ75" s="121"/>
      <c r="HK75" s="121"/>
      <c r="HL75" s="121"/>
      <c r="HM75" s="121"/>
      <c r="HN75" s="121"/>
      <c r="HO75" s="121"/>
      <c r="HP75" s="121"/>
      <c r="HQ75" s="121"/>
      <c r="HR75" s="121"/>
      <c r="HS75" s="121"/>
      <c r="HT75" s="121"/>
      <c r="HU75" s="121"/>
      <c r="HV75" s="121"/>
      <c r="HW75" s="121"/>
      <c r="HX75" s="121"/>
      <c r="HY75" s="121"/>
      <c r="HZ75" s="121"/>
      <c r="IA75" s="121"/>
      <c r="IB75" s="120"/>
    </row>
    <row r="76" spans="3:236" ht="3.75" customHeight="1">
      <c r="C76" s="128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1"/>
      <c r="BC76" s="116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0"/>
      <c r="ER76" s="116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121"/>
      <c r="GS76" s="121"/>
      <c r="GT76" s="121"/>
      <c r="GU76" s="121"/>
      <c r="GV76" s="121"/>
      <c r="GW76" s="121"/>
      <c r="GX76" s="121"/>
      <c r="GY76" s="121"/>
      <c r="GZ76" s="121"/>
      <c r="HA76" s="121"/>
      <c r="HB76" s="121"/>
      <c r="HC76" s="121"/>
      <c r="HD76" s="121"/>
      <c r="HE76" s="121"/>
      <c r="HF76" s="121"/>
      <c r="HG76" s="121"/>
      <c r="HH76" s="121"/>
      <c r="HI76" s="121"/>
      <c r="HJ76" s="121"/>
      <c r="HK76" s="121"/>
      <c r="HL76" s="121"/>
      <c r="HM76" s="121"/>
      <c r="HN76" s="121"/>
      <c r="HO76" s="121"/>
      <c r="HP76" s="121"/>
      <c r="HQ76" s="121"/>
      <c r="HR76" s="121"/>
      <c r="HS76" s="121"/>
      <c r="HT76" s="121"/>
      <c r="HU76" s="121"/>
      <c r="HV76" s="121"/>
      <c r="HW76" s="121"/>
      <c r="HX76" s="121"/>
      <c r="HY76" s="121"/>
      <c r="HZ76" s="121"/>
      <c r="IA76" s="121"/>
      <c r="IB76" s="120"/>
    </row>
    <row r="77" spans="3:236" ht="3.75" customHeight="1">
      <c r="C77" s="128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1"/>
      <c r="BC77" s="116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0"/>
      <c r="ER77" s="116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  <c r="GQ77" s="121"/>
      <c r="GR77" s="121"/>
      <c r="GS77" s="121"/>
      <c r="GT77" s="121"/>
      <c r="GU77" s="121"/>
      <c r="GV77" s="121"/>
      <c r="GW77" s="121"/>
      <c r="GX77" s="121"/>
      <c r="GY77" s="121"/>
      <c r="GZ77" s="121"/>
      <c r="HA77" s="121"/>
      <c r="HB77" s="121"/>
      <c r="HC77" s="121"/>
      <c r="HD77" s="121"/>
      <c r="HE77" s="121"/>
      <c r="HF77" s="121"/>
      <c r="HG77" s="121"/>
      <c r="HH77" s="121"/>
      <c r="HI77" s="121"/>
      <c r="HJ77" s="121"/>
      <c r="HK77" s="121"/>
      <c r="HL77" s="121"/>
      <c r="HM77" s="121"/>
      <c r="HN77" s="121"/>
      <c r="HO77" s="121"/>
      <c r="HP77" s="121"/>
      <c r="HQ77" s="121"/>
      <c r="HR77" s="121"/>
      <c r="HS77" s="121"/>
      <c r="HT77" s="121"/>
      <c r="HU77" s="121"/>
      <c r="HV77" s="121"/>
      <c r="HW77" s="121"/>
      <c r="HX77" s="121"/>
      <c r="HY77" s="121"/>
      <c r="HZ77" s="121"/>
      <c r="IA77" s="121"/>
      <c r="IB77" s="120"/>
    </row>
    <row r="78" spans="3:236" ht="3.75" customHeight="1">
      <c r="C78" s="128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1"/>
      <c r="BC78" s="116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0"/>
      <c r="ER78" s="116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  <c r="GQ78" s="121"/>
      <c r="GR78" s="121"/>
      <c r="GS78" s="121"/>
      <c r="GT78" s="121"/>
      <c r="GU78" s="121"/>
      <c r="GV78" s="121"/>
      <c r="GW78" s="121"/>
      <c r="GX78" s="121"/>
      <c r="GY78" s="121"/>
      <c r="GZ78" s="121"/>
      <c r="HA78" s="121"/>
      <c r="HB78" s="121"/>
      <c r="HC78" s="121"/>
      <c r="HD78" s="121"/>
      <c r="HE78" s="121"/>
      <c r="HF78" s="121"/>
      <c r="HG78" s="121"/>
      <c r="HH78" s="121"/>
      <c r="HI78" s="121"/>
      <c r="HJ78" s="121"/>
      <c r="HK78" s="121"/>
      <c r="HL78" s="121"/>
      <c r="HM78" s="121"/>
      <c r="HN78" s="121"/>
      <c r="HO78" s="121"/>
      <c r="HP78" s="121"/>
      <c r="HQ78" s="121"/>
      <c r="HR78" s="121"/>
      <c r="HS78" s="121"/>
      <c r="HT78" s="121"/>
      <c r="HU78" s="121"/>
      <c r="HV78" s="121"/>
      <c r="HW78" s="121"/>
      <c r="HX78" s="121"/>
      <c r="HY78" s="121"/>
      <c r="HZ78" s="121"/>
      <c r="IA78" s="121"/>
      <c r="IB78" s="120"/>
    </row>
    <row r="79" spans="3:236" ht="3.75" customHeight="1">
      <c r="C79" s="128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1"/>
      <c r="BC79" s="116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0"/>
      <c r="ER79" s="116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  <c r="GQ79" s="121"/>
      <c r="GR79" s="121"/>
      <c r="GS79" s="121"/>
      <c r="GT79" s="121"/>
      <c r="GU79" s="121"/>
      <c r="GV79" s="121"/>
      <c r="GW79" s="121"/>
      <c r="GX79" s="121"/>
      <c r="GY79" s="121"/>
      <c r="GZ79" s="121"/>
      <c r="HA79" s="121"/>
      <c r="HB79" s="121"/>
      <c r="HC79" s="121"/>
      <c r="HD79" s="121"/>
      <c r="HE79" s="121"/>
      <c r="HF79" s="121"/>
      <c r="HG79" s="121"/>
      <c r="HH79" s="121"/>
      <c r="HI79" s="121"/>
      <c r="HJ79" s="121"/>
      <c r="HK79" s="121"/>
      <c r="HL79" s="121"/>
      <c r="HM79" s="121"/>
      <c r="HN79" s="121"/>
      <c r="HO79" s="121"/>
      <c r="HP79" s="121"/>
      <c r="HQ79" s="121"/>
      <c r="HR79" s="121"/>
      <c r="HS79" s="121"/>
      <c r="HT79" s="121"/>
      <c r="HU79" s="121"/>
      <c r="HV79" s="121"/>
      <c r="HW79" s="121"/>
      <c r="HX79" s="121"/>
      <c r="HY79" s="121"/>
      <c r="HZ79" s="121"/>
      <c r="IA79" s="121"/>
      <c r="IB79" s="120"/>
    </row>
    <row r="80" spans="3:236" ht="3.75" customHeight="1">
      <c r="C80" s="128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31"/>
      <c r="BC80" s="116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21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1"/>
      <c r="DL80" s="121"/>
      <c r="DM80" s="121"/>
      <c r="DN80" s="121"/>
      <c r="DO80" s="121"/>
      <c r="DP80" s="121"/>
      <c r="DQ80" s="121"/>
      <c r="DR80" s="121"/>
      <c r="DS80" s="121"/>
      <c r="DT80" s="121"/>
      <c r="DU80" s="121"/>
      <c r="DV80" s="121"/>
      <c r="DW80" s="121"/>
      <c r="DX80" s="121"/>
      <c r="DY80" s="121"/>
      <c r="DZ80" s="121"/>
      <c r="EA80" s="121"/>
      <c r="EB80" s="121"/>
      <c r="EC80" s="121"/>
      <c r="ED80" s="121"/>
      <c r="EE80" s="121"/>
      <c r="EF80" s="121"/>
      <c r="EG80" s="121"/>
      <c r="EH80" s="121"/>
      <c r="EI80" s="121"/>
      <c r="EJ80" s="121"/>
      <c r="EK80" s="121"/>
      <c r="EL80" s="121"/>
      <c r="EM80" s="121"/>
      <c r="EN80" s="121"/>
      <c r="EO80" s="121"/>
      <c r="EP80" s="120"/>
      <c r="ER80" s="116"/>
      <c r="ES80" s="121"/>
      <c r="ET80" s="121"/>
      <c r="EU80" s="121"/>
      <c r="EV80" s="121"/>
      <c r="EW80" s="121"/>
      <c r="EX80" s="121"/>
      <c r="EY80" s="121"/>
      <c r="EZ80" s="121"/>
      <c r="FA80" s="121"/>
      <c r="FB80" s="121"/>
      <c r="FC80" s="121"/>
      <c r="FD80" s="121"/>
      <c r="FE80" s="121"/>
      <c r="FF80" s="121"/>
      <c r="FG80" s="121"/>
      <c r="FH80" s="121"/>
      <c r="FI80" s="121"/>
      <c r="FJ80" s="121"/>
      <c r="FK80" s="121"/>
      <c r="FL80" s="121"/>
      <c r="FM80" s="121"/>
      <c r="FN80" s="121"/>
      <c r="FO80" s="121"/>
      <c r="FP80" s="121"/>
      <c r="FQ80" s="121"/>
      <c r="FR80" s="121"/>
      <c r="FS80" s="121"/>
      <c r="FT80" s="121"/>
      <c r="FU80" s="121"/>
      <c r="FV80" s="121"/>
      <c r="FW80" s="121"/>
      <c r="FX80" s="121"/>
      <c r="FY80" s="121"/>
      <c r="FZ80" s="121"/>
      <c r="GA80" s="121"/>
      <c r="GB80" s="121"/>
      <c r="GC80" s="121"/>
      <c r="GD80" s="121"/>
      <c r="GE80" s="121"/>
      <c r="GF80" s="121"/>
      <c r="GG80" s="121"/>
      <c r="GH80" s="121"/>
      <c r="GI80" s="121"/>
      <c r="GJ80" s="121"/>
      <c r="GK80" s="121"/>
      <c r="GL80" s="121"/>
      <c r="GM80" s="121"/>
      <c r="GN80" s="121"/>
      <c r="GO80" s="121"/>
      <c r="GP80" s="121"/>
      <c r="GQ80" s="121"/>
      <c r="GR80" s="121"/>
      <c r="GS80" s="121"/>
      <c r="GT80" s="121"/>
      <c r="GU80" s="121"/>
      <c r="GV80" s="121"/>
      <c r="GW80" s="121"/>
      <c r="GX80" s="121"/>
      <c r="GY80" s="121"/>
      <c r="GZ80" s="121"/>
      <c r="HA80" s="121"/>
      <c r="HB80" s="121"/>
      <c r="HC80" s="121"/>
      <c r="HD80" s="121"/>
      <c r="HE80" s="121"/>
      <c r="HF80" s="121"/>
      <c r="HG80" s="121"/>
      <c r="HH80" s="121"/>
      <c r="HI80" s="121"/>
      <c r="HJ80" s="121"/>
      <c r="HK80" s="121"/>
      <c r="HL80" s="121"/>
      <c r="HM80" s="121"/>
      <c r="HN80" s="121"/>
      <c r="HO80" s="121"/>
      <c r="HP80" s="121"/>
      <c r="HQ80" s="121"/>
      <c r="HR80" s="121"/>
      <c r="HS80" s="121"/>
      <c r="HT80" s="121"/>
      <c r="HU80" s="121"/>
      <c r="HV80" s="121"/>
      <c r="HW80" s="121"/>
      <c r="HX80" s="121"/>
      <c r="HY80" s="121"/>
      <c r="HZ80" s="121"/>
      <c r="IA80" s="121"/>
      <c r="IB80" s="120"/>
    </row>
    <row r="81" spans="3:236" ht="3.75" customHeight="1">
      <c r="C81" s="13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6"/>
      <c r="BC81" s="116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0"/>
      <c r="ER81" s="116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  <c r="GQ81" s="121"/>
      <c r="GR81" s="121"/>
      <c r="GS81" s="121"/>
      <c r="GT81" s="121"/>
      <c r="GU81" s="121"/>
      <c r="GV81" s="121"/>
      <c r="GW81" s="121"/>
      <c r="GX81" s="121"/>
      <c r="GY81" s="121"/>
      <c r="GZ81" s="121"/>
      <c r="HA81" s="121"/>
      <c r="HB81" s="121"/>
      <c r="HC81" s="121"/>
      <c r="HD81" s="121"/>
      <c r="HE81" s="121"/>
      <c r="HF81" s="121"/>
      <c r="HG81" s="121"/>
      <c r="HH81" s="121"/>
      <c r="HI81" s="121"/>
      <c r="HJ81" s="121"/>
      <c r="HK81" s="121"/>
      <c r="HL81" s="121"/>
      <c r="HM81" s="121"/>
      <c r="HN81" s="121"/>
      <c r="HO81" s="121"/>
      <c r="HP81" s="121"/>
      <c r="HQ81" s="121"/>
      <c r="HR81" s="121"/>
      <c r="HS81" s="121"/>
      <c r="HT81" s="121"/>
      <c r="HU81" s="121"/>
      <c r="HV81" s="121"/>
      <c r="HW81" s="121"/>
      <c r="HX81" s="121"/>
      <c r="HY81" s="121"/>
      <c r="HZ81" s="121"/>
      <c r="IA81" s="121"/>
      <c r="IB81" s="120"/>
    </row>
    <row r="82" spans="3:236" ht="3.75" customHeight="1">
      <c r="BC82" s="116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0"/>
      <c r="ER82" s="116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  <c r="GQ82" s="121"/>
      <c r="GR82" s="121"/>
      <c r="GS82" s="121"/>
      <c r="GT82" s="121"/>
      <c r="GU82" s="121"/>
      <c r="GV82" s="121"/>
      <c r="GW82" s="121"/>
      <c r="GX82" s="121"/>
      <c r="GY82" s="121"/>
      <c r="GZ82" s="121"/>
      <c r="HA82" s="121"/>
      <c r="HB82" s="121"/>
      <c r="HC82" s="121"/>
      <c r="HD82" s="121"/>
      <c r="HE82" s="121"/>
      <c r="HF82" s="121"/>
      <c r="HG82" s="121"/>
      <c r="HH82" s="121"/>
      <c r="HI82" s="121"/>
      <c r="HJ82" s="121"/>
      <c r="HK82" s="121"/>
      <c r="HL82" s="121"/>
      <c r="HM82" s="121"/>
      <c r="HN82" s="121"/>
      <c r="HO82" s="121"/>
      <c r="HP82" s="121"/>
      <c r="HQ82" s="121"/>
      <c r="HR82" s="121"/>
      <c r="HS82" s="121"/>
      <c r="HT82" s="121"/>
      <c r="HU82" s="121"/>
      <c r="HV82" s="121"/>
      <c r="HW82" s="121"/>
      <c r="HX82" s="121"/>
      <c r="HY82" s="121"/>
      <c r="HZ82" s="121"/>
      <c r="IA82" s="121"/>
      <c r="IB82" s="120"/>
    </row>
    <row r="83" spans="3:236" ht="3.75" customHeight="1">
      <c r="BC83" s="116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0"/>
      <c r="ER83" s="116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  <c r="GQ83" s="121"/>
      <c r="GR83" s="121"/>
      <c r="GS83" s="121"/>
      <c r="GT83" s="121"/>
      <c r="GU83" s="121"/>
      <c r="GV83" s="121"/>
      <c r="GW83" s="121"/>
      <c r="GX83" s="121"/>
      <c r="GY83" s="121"/>
      <c r="GZ83" s="121"/>
      <c r="HA83" s="121"/>
      <c r="HB83" s="121"/>
      <c r="HC83" s="121"/>
      <c r="HD83" s="121"/>
      <c r="HE83" s="121"/>
      <c r="HF83" s="121"/>
      <c r="HG83" s="121"/>
      <c r="HH83" s="121"/>
      <c r="HI83" s="121"/>
      <c r="HJ83" s="121"/>
      <c r="HK83" s="121"/>
      <c r="HL83" s="121"/>
      <c r="HM83" s="121"/>
      <c r="HN83" s="121"/>
      <c r="HO83" s="121"/>
      <c r="HP83" s="121"/>
      <c r="HQ83" s="121"/>
      <c r="HR83" s="121"/>
      <c r="HS83" s="121"/>
      <c r="HT83" s="121"/>
      <c r="HU83" s="121"/>
      <c r="HV83" s="121"/>
      <c r="HW83" s="121"/>
      <c r="HX83" s="121"/>
      <c r="HY83" s="121"/>
      <c r="HZ83" s="121"/>
      <c r="IA83" s="121"/>
      <c r="IB83" s="120"/>
    </row>
    <row r="84" spans="3:236" ht="3.75" customHeight="1">
      <c r="C84" s="137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9"/>
      <c r="BC84" s="116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0"/>
      <c r="ER84" s="116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  <c r="GQ84" s="121"/>
      <c r="GR84" s="121"/>
      <c r="GS84" s="121"/>
      <c r="GT84" s="121"/>
      <c r="GU84" s="121"/>
      <c r="GV84" s="121"/>
      <c r="GW84" s="121"/>
      <c r="GX84" s="121"/>
      <c r="GY84" s="121"/>
      <c r="GZ84" s="121"/>
      <c r="HA84" s="121"/>
      <c r="HB84" s="121"/>
      <c r="HC84" s="121"/>
      <c r="HD84" s="121"/>
      <c r="HE84" s="121"/>
      <c r="HF84" s="121"/>
      <c r="HG84" s="121"/>
      <c r="HH84" s="121"/>
      <c r="HI84" s="121"/>
      <c r="HJ84" s="121"/>
      <c r="HK84" s="121"/>
      <c r="HL84" s="121"/>
      <c r="HM84" s="121"/>
      <c r="HN84" s="121"/>
      <c r="HO84" s="121"/>
      <c r="HP84" s="121"/>
      <c r="HQ84" s="121"/>
      <c r="HR84" s="121"/>
      <c r="HS84" s="121"/>
      <c r="HT84" s="121"/>
      <c r="HU84" s="121"/>
      <c r="HV84" s="121"/>
      <c r="HW84" s="121"/>
      <c r="HX84" s="121"/>
      <c r="HY84" s="121"/>
      <c r="HZ84" s="121"/>
      <c r="IA84" s="121"/>
      <c r="IB84" s="120"/>
    </row>
    <row r="85" spans="3:236" ht="3.75" customHeight="1">
      <c r="C85" s="140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/>
      <c r="AZ85" s="142"/>
      <c r="BC85" s="116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0"/>
      <c r="ER85" s="116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  <c r="GQ85" s="121"/>
      <c r="GR85" s="121"/>
      <c r="GS85" s="121"/>
      <c r="GT85" s="121"/>
      <c r="GU85" s="121"/>
      <c r="GV85" s="121"/>
      <c r="GW85" s="121"/>
      <c r="GX85" s="121"/>
      <c r="GY85" s="121"/>
      <c r="GZ85" s="121"/>
      <c r="HA85" s="121"/>
      <c r="HB85" s="121"/>
      <c r="HC85" s="121"/>
      <c r="HD85" s="121"/>
      <c r="HE85" s="121"/>
      <c r="HF85" s="121"/>
      <c r="HG85" s="121"/>
      <c r="HH85" s="121"/>
      <c r="HI85" s="121"/>
      <c r="HJ85" s="121"/>
      <c r="HK85" s="121"/>
      <c r="HL85" s="121"/>
      <c r="HM85" s="121"/>
      <c r="HN85" s="121"/>
      <c r="HO85" s="121"/>
      <c r="HP85" s="121"/>
      <c r="HQ85" s="121"/>
      <c r="HR85" s="121"/>
      <c r="HS85" s="121"/>
      <c r="HT85" s="121"/>
      <c r="HU85" s="121"/>
      <c r="HV85" s="121"/>
      <c r="HW85" s="121"/>
      <c r="HX85" s="121"/>
      <c r="HY85" s="121"/>
      <c r="HZ85" s="121"/>
      <c r="IA85" s="121"/>
      <c r="IB85" s="120"/>
    </row>
    <row r="86" spans="3:236" ht="3.75" customHeight="1">
      <c r="C86" s="140"/>
      <c r="D86" s="141"/>
      <c r="E86" s="143" t="s">
        <v>1058</v>
      </c>
      <c r="F86" s="143"/>
      <c r="G86" s="143"/>
      <c r="H86" s="143"/>
      <c r="I86" s="143"/>
      <c r="J86" s="143"/>
      <c r="K86" s="143"/>
      <c r="L86" s="143"/>
      <c r="M86" s="141"/>
      <c r="N86" s="144" t="s">
        <v>1059</v>
      </c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2"/>
      <c r="BC86" s="116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0"/>
      <c r="ER86" s="116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  <c r="GQ86" s="121"/>
      <c r="GR86" s="121"/>
      <c r="GS86" s="121"/>
      <c r="GT86" s="121"/>
      <c r="GU86" s="121"/>
      <c r="GV86" s="121"/>
      <c r="GW86" s="121"/>
      <c r="GX86" s="121"/>
      <c r="GY86" s="121"/>
      <c r="GZ86" s="121"/>
      <c r="HA86" s="121"/>
      <c r="HB86" s="121"/>
      <c r="HC86" s="121"/>
      <c r="HD86" s="121"/>
      <c r="HE86" s="121"/>
      <c r="HF86" s="121"/>
      <c r="HG86" s="121"/>
      <c r="HH86" s="121"/>
      <c r="HI86" s="121"/>
      <c r="HJ86" s="121"/>
      <c r="HK86" s="121"/>
      <c r="HL86" s="121"/>
      <c r="HM86" s="121"/>
      <c r="HN86" s="121"/>
      <c r="HO86" s="121"/>
      <c r="HP86" s="121"/>
      <c r="HQ86" s="121"/>
      <c r="HR86" s="121"/>
      <c r="HS86" s="121"/>
      <c r="HT86" s="121"/>
      <c r="HU86" s="121"/>
      <c r="HV86" s="121"/>
      <c r="HW86" s="121"/>
      <c r="HX86" s="121"/>
      <c r="HY86" s="121"/>
      <c r="HZ86" s="121"/>
      <c r="IA86" s="121"/>
      <c r="IB86" s="120"/>
    </row>
    <row r="87" spans="3:236" ht="3.75" customHeight="1">
      <c r="C87" s="140"/>
      <c r="D87" s="141"/>
      <c r="E87" s="143"/>
      <c r="F87" s="143"/>
      <c r="G87" s="143"/>
      <c r="H87" s="143"/>
      <c r="I87" s="143"/>
      <c r="J87" s="143"/>
      <c r="K87" s="143"/>
      <c r="L87" s="143"/>
      <c r="M87" s="141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2"/>
      <c r="BC87" s="116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21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  <c r="DK87" s="121"/>
      <c r="DL87" s="121"/>
      <c r="DM87" s="121"/>
      <c r="DN87" s="121"/>
      <c r="DO87" s="121"/>
      <c r="DP87" s="121"/>
      <c r="DQ87" s="121"/>
      <c r="DR87" s="121"/>
      <c r="DS87" s="121"/>
      <c r="DT87" s="121"/>
      <c r="DU87" s="121"/>
      <c r="DV87" s="121"/>
      <c r="DW87" s="121"/>
      <c r="DX87" s="121"/>
      <c r="DY87" s="121"/>
      <c r="DZ87" s="121"/>
      <c r="EA87" s="121"/>
      <c r="EB87" s="121"/>
      <c r="EC87" s="121"/>
      <c r="ED87" s="121"/>
      <c r="EE87" s="121"/>
      <c r="EF87" s="121"/>
      <c r="EG87" s="121"/>
      <c r="EH87" s="121"/>
      <c r="EI87" s="121"/>
      <c r="EJ87" s="121"/>
      <c r="EK87" s="121"/>
      <c r="EL87" s="121"/>
      <c r="EM87" s="121"/>
      <c r="EN87" s="121"/>
      <c r="EO87" s="121"/>
      <c r="EP87" s="120"/>
      <c r="ER87" s="116"/>
      <c r="ES87" s="121"/>
      <c r="ET87" s="121"/>
      <c r="EU87" s="121"/>
      <c r="EV87" s="121"/>
      <c r="EW87" s="121"/>
      <c r="EX87" s="121"/>
      <c r="EY87" s="121"/>
      <c r="EZ87" s="121"/>
      <c r="FA87" s="121"/>
      <c r="FB87" s="121"/>
      <c r="FC87" s="121"/>
      <c r="FD87" s="121"/>
      <c r="FE87" s="121"/>
      <c r="FF87" s="121"/>
      <c r="FG87" s="121"/>
      <c r="FH87" s="121"/>
      <c r="FI87" s="121"/>
      <c r="FJ87" s="121"/>
      <c r="FK87" s="121"/>
      <c r="FL87" s="121"/>
      <c r="FM87" s="121"/>
      <c r="FN87" s="121"/>
      <c r="FO87" s="121"/>
      <c r="FP87" s="121"/>
      <c r="FQ87" s="121"/>
      <c r="FR87" s="121"/>
      <c r="FS87" s="121"/>
      <c r="FT87" s="121"/>
      <c r="FU87" s="121"/>
      <c r="FV87" s="121"/>
      <c r="FW87" s="121"/>
      <c r="FX87" s="121"/>
      <c r="FY87" s="121"/>
      <c r="FZ87" s="121"/>
      <c r="GA87" s="121"/>
      <c r="GB87" s="121"/>
      <c r="GC87" s="121"/>
      <c r="GD87" s="121"/>
      <c r="GE87" s="121"/>
      <c r="GF87" s="121"/>
      <c r="GG87" s="121"/>
      <c r="GH87" s="121"/>
      <c r="GI87" s="121"/>
      <c r="GJ87" s="121"/>
      <c r="GK87" s="121"/>
      <c r="GL87" s="121"/>
      <c r="GM87" s="121"/>
      <c r="GN87" s="121"/>
      <c r="GO87" s="121"/>
      <c r="GP87" s="121"/>
      <c r="GQ87" s="121"/>
      <c r="GR87" s="121"/>
      <c r="GS87" s="121"/>
      <c r="GT87" s="121"/>
      <c r="GU87" s="121"/>
      <c r="GV87" s="121"/>
      <c r="GW87" s="121"/>
      <c r="GX87" s="121"/>
      <c r="GY87" s="121"/>
      <c r="GZ87" s="121"/>
      <c r="HA87" s="121"/>
      <c r="HB87" s="121"/>
      <c r="HC87" s="121"/>
      <c r="HD87" s="121"/>
      <c r="HE87" s="121"/>
      <c r="HF87" s="121"/>
      <c r="HG87" s="121"/>
      <c r="HH87" s="121"/>
      <c r="HI87" s="121"/>
      <c r="HJ87" s="121"/>
      <c r="HK87" s="121"/>
      <c r="HL87" s="121"/>
      <c r="HM87" s="121"/>
      <c r="HN87" s="121"/>
      <c r="HO87" s="121"/>
      <c r="HP87" s="121"/>
      <c r="HQ87" s="121"/>
      <c r="HR87" s="121"/>
      <c r="HS87" s="121"/>
      <c r="HT87" s="121"/>
      <c r="HU87" s="121"/>
      <c r="HV87" s="121"/>
      <c r="HW87" s="121"/>
      <c r="HX87" s="121"/>
      <c r="HY87" s="121"/>
      <c r="HZ87" s="121"/>
      <c r="IA87" s="121"/>
      <c r="IB87" s="120"/>
    </row>
    <row r="88" spans="3:236" ht="3.75" customHeight="1">
      <c r="C88" s="140"/>
      <c r="D88" s="141"/>
      <c r="E88" s="143"/>
      <c r="F88" s="143"/>
      <c r="G88" s="143"/>
      <c r="H88" s="143"/>
      <c r="I88" s="143"/>
      <c r="J88" s="143"/>
      <c r="K88" s="143"/>
      <c r="L88" s="143"/>
      <c r="M88" s="141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2"/>
      <c r="BC88" s="116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0"/>
      <c r="ER88" s="116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  <c r="GQ88" s="121"/>
      <c r="GR88" s="121"/>
      <c r="GS88" s="121"/>
      <c r="GT88" s="121"/>
      <c r="GU88" s="121"/>
      <c r="GV88" s="121"/>
      <c r="GW88" s="121"/>
      <c r="GX88" s="121"/>
      <c r="GY88" s="121"/>
      <c r="GZ88" s="121"/>
      <c r="HA88" s="121"/>
      <c r="HB88" s="121"/>
      <c r="HC88" s="121"/>
      <c r="HD88" s="121"/>
      <c r="HE88" s="121"/>
      <c r="HF88" s="121"/>
      <c r="HG88" s="121"/>
      <c r="HH88" s="121"/>
      <c r="HI88" s="121"/>
      <c r="HJ88" s="121"/>
      <c r="HK88" s="121"/>
      <c r="HL88" s="121"/>
      <c r="HM88" s="121"/>
      <c r="HN88" s="121"/>
      <c r="HO88" s="121"/>
      <c r="HP88" s="121"/>
      <c r="HQ88" s="121"/>
      <c r="HR88" s="121"/>
      <c r="HS88" s="121"/>
      <c r="HT88" s="121"/>
      <c r="HU88" s="121"/>
      <c r="HV88" s="121"/>
      <c r="HW88" s="121"/>
      <c r="HX88" s="121"/>
      <c r="HY88" s="121"/>
      <c r="HZ88" s="121"/>
      <c r="IA88" s="121"/>
      <c r="IB88" s="120"/>
    </row>
    <row r="89" spans="3:236" ht="3.75" customHeight="1">
      <c r="C89" s="140"/>
      <c r="D89" s="141"/>
      <c r="E89" s="143"/>
      <c r="F89" s="143"/>
      <c r="G89" s="143"/>
      <c r="H89" s="143"/>
      <c r="I89" s="143"/>
      <c r="J89" s="143"/>
      <c r="K89" s="143"/>
      <c r="L89" s="143"/>
      <c r="M89" s="141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2"/>
      <c r="BC89" s="116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0"/>
      <c r="ER89" s="116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  <c r="GQ89" s="121"/>
      <c r="GR89" s="121"/>
      <c r="GS89" s="121"/>
      <c r="GT89" s="121"/>
      <c r="GU89" s="121"/>
      <c r="GV89" s="121"/>
      <c r="GW89" s="121"/>
      <c r="GX89" s="121"/>
      <c r="GY89" s="121"/>
      <c r="GZ89" s="121"/>
      <c r="HA89" s="121"/>
      <c r="HB89" s="121"/>
      <c r="HC89" s="121"/>
      <c r="HD89" s="121"/>
      <c r="HE89" s="121"/>
      <c r="HF89" s="121"/>
      <c r="HG89" s="121"/>
      <c r="HH89" s="121"/>
      <c r="HI89" s="121"/>
      <c r="HJ89" s="121"/>
      <c r="HK89" s="121"/>
      <c r="HL89" s="121"/>
      <c r="HM89" s="121"/>
      <c r="HN89" s="121"/>
      <c r="HO89" s="121"/>
      <c r="HP89" s="121"/>
      <c r="HQ89" s="121"/>
      <c r="HR89" s="121"/>
      <c r="HS89" s="121"/>
      <c r="HT89" s="121"/>
      <c r="HU89" s="121"/>
      <c r="HV89" s="121"/>
      <c r="HW89" s="121"/>
      <c r="HX89" s="121"/>
      <c r="HY89" s="121"/>
      <c r="HZ89" s="121"/>
      <c r="IA89" s="121"/>
      <c r="IB89" s="120"/>
    </row>
    <row r="90" spans="3:236" ht="3.75" customHeight="1">
      <c r="C90" s="140"/>
      <c r="D90" s="141"/>
      <c r="E90" s="143"/>
      <c r="F90" s="143"/>
      <c r="G90" s="143"/>
      <c r="H90" s="143"/>
      <c r="I90" s="143"/>
      <c r="J90" s="143"/>
      <c r="K90" s="143"/>
      <c r="L90" s="143"/>
      <c r="M90" s="141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2"/>
      <c r="BC90" s="116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0"/>
      <c r="ER90" s="116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  <c r="GQ90" s="121"/>
      <c r="GR90" s="121"/>
      <c r="GS90" s="121"/>
      <c r="GT90" s="121"/>
      <c r="GU90" s="121"/>
      <c r="GV90" s="121"/>
      <c r="GW90" s="121"/>
      <c r="GX90" s="121"/>
      <c r="GY90" s="121"/>
      <c r="GZ90" s="121"/>
      <c r="HA90" s="121"/>
      <c r="HB90" s="121"/>
      <c r="HC90" s="121"/>
      <c r="HD90" s="121"/>
      <c r="HE90" s="121"/>
      <c r="HF90" s="121"/>
      <c r="HG90" s="121"/>
      <c r="HH90" s="121"/>
      <c r="HI90" s="121"/>
      <c r="HJ90" s="121"/>
      <c r="HK90" s="121"/>
      <c r="HL90" s="121"/>
      <c r="HM90" s="121"/>
      <c r="HN90" s="121"/>
      <c r="HO90" s="121"/>
      <c r="HP90" s="121"/>
      <c r="HQ90" s="121"/>
      <c r="HR90" s="121"/>
      <c r="HS90" s="121"/>
      <c r="HT90" s="121"/>
      <c r="HU90" s="121"/>
      <c r="HV90" s="121"/>
      <c r="HW90" s="121"/>
      <c r="HX90" s="121"/>
      <c r="HY90" s="121"/>
      <c r="HZ90" s="121"/>
      <c r="IA90" s="121"/>
      <c r="IB90" s="120"/>
    </row>
    <row r="91" spans="3:236" ht="3.75" customHeight="1">
      <c r="C91" s="140"/>
      <c r="D91" s="141"/>
      <c r="E91" s="143"/>
      <c r="F91" s="143"/>
      <c r="G91" s="143"/>
      <c r="H91" s="143"/>
      <c r="I91" s="143"/>
      <c r="J91" s="143"/>
      <c r="K91" s="143"/>
      <c r="L91" s="143"/>
      <c r="M91" s="141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2"/>
      <c r="BC91" s="116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0"/>
      <c r="ER91" s="116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  <c r="GQ91" s="121"/>
      <c r="GR91" s="121"/>
      <c r="GS91" s="121"/>
      <c r="GT91" s="121"/>
      <c r="GU91" s="121"/>
      <c r="GV91" s="121"/>
      <c r="GW91" s="121"/>
      <c r="GX91" s="121"/>
      <c r="GY91" s="121"/>
      <c r="GZ91" s="121"/>
      <c r="HA91" s="121"/>
      <c r="HB91" s="121"/>
      <c r="HC91" s="121"/>
      <c r="HD91" s="121"/>
      <c r="HE91" s="121"/>
      <c r="HF91" s="121"/>
      <c r="HG91" s="121"/>
      <c r="HH91" s="121"/>
      <c r="HI91" s="121"/>
      <c r="HJ91" s="121"/>
      <c r="HK91" s="121"/>
      <c r="HL91" s="121"/>
      <c r="HM91" s="121"/>
      <c r="HN91" s="121"/>
      <c r="HO91" s="121"/>
      <c r="HP91" s="121"/>
      <c r="HQ91" s="121"/>
      <c r="HR91" s="121"/>
      <c r="HS91" s="121"/>
      <c r="HT91" s="121"/>
      <c r="HU91" s="121"/>
      <c r="HV91" s="121"/>
      <c r="HW91" s="121"/>
      <c r="HX91" s="121"/>
      <c r="HY91" s="121"/>
      <c r="HZ91" s="121"/>
      <c r="IA91" s="121"/>
      <c r="IB91" s="120"/>
    </row>
    <row r="92" spans="3:236" ht="3.75" customHeight="1">
      <c r="C92" s="140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2"/>
      <c r="BC92" s="116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0"/>
      <c r="ER92" s="116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  <c r="GQ92" s="121"/>
      <c r="GR92" s="121"/>
      <c r="GS92" s="121"/>
      <c r="GT92" s="121"/>
      <c r="GU92" s="121"/>
      <c r="GV92" s="121"/>
      <c r="GW92" s="121"/>
      <c r="GX92" s="121"/>
      <c r="GY92" s="121"/>
      <c r="GZ92" s="121"/>
      <c r="HA92" s="121"/>
      <c r="HB92" s="121"/>
      <c r="HC92" s="121"/>
      <c r="HD92" s="121"/>
      <c r="HE92" s="121"/>
      <c r="HF92" s="121"/>
      <c r="HG92" s="121"/>
      <c r="HH92" s="121"/>
      <c r="HI92" s="121"/>
      <c r="HJ92" s="121"/>
      <c r="HK92" s="121"/>
      <c r="HL92" s="121"/>
      <c r="HM92" s="121"/>
      <c r="HN92" s="121"/>
      <c r="HO92" s="121"/>
      <c r="HP92" s="121"/>
      <c r="HQ92" s="121"/>
      <c r="HR92" s="121"/>
      <c r="HS92" s="121"/>
      <c r="HT92" s="121"/>
      <c r="HU92" s="121"/>
      <c r="HV92" s="121"/>
      <c r="HW92" s="121"/>
      <c r="HX92" s="121"/>
      <c r="HY92" s="121"/>
      <c r="HZ92" s="121"/>
      <c r="IA92" s="121"/>
      <c r="IB92" s="120"/>
    </row>
    <row r="93" spans="3:236" ht="3.75" customHeight="1">
      <c r="C93" s="140"/>
      <c r="D93" s="141"/>
      <c r="E93" s="145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7">
        <f>IFERROR(IFERROR(GETPIVOTDATA("Rides",'Pivot Table 1'!$A$3,"ride_status","COMPLETED"),0)/GETPIVOTDATA("Rides",'Pivot Table 4'!$A$3),0)</f>
        <v>0.704</v>
      </c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/>
      <c r="AY93" s="141"/>
      <c r="AZ93" s="142"/>
      <c r="BC93" s="116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0"/>
      <c r="ER93" s="116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  <c r="GQ93" s="121"/>
      <c r="GR93" s="121"/>
      <c r="GS93" s="121"/>
      <c r="GT93" s="121"/>
      <c r="GU93" s="121"/>
      <c r="GV93" s="121"/>
      <c r="GW93" s="121"/>
      <c r="GX93" s="121"/>
      <c r="GY93" s="121"/>
      <c r="GZ93" s="121"/>
      <c r="HA93" s="121"/>
      <c r="HB93" s="121"/>
      <c r="HC93" s="121"/>
      <c r="HD93" s="121"/>
      <c r="HE93" s="121"/>
      <c r="HF93" s="121"/>
      <c r="HG93" s="121"/>
      <c r="HH93" s="121"/>
      <c r="HI93" s="121"/>
      <c r="HJ93" s="121"/>
      <c r="HK93" s="121"/>
      <c r="HL93" s="121"/>
      <c r="HM93" s="121"/>
      <c r="HN93" s="121"/>
      <c r="HO93" s="121"/>
      <c r="HP93" s="121"/>
      <c r="HQ93" s="121"/>
      <c r="HR93" s="121"/>
      <c r="HS93" s="121"/>
      <c r="HT93" s="121"/>
      <c r="HU93" s="121"/>
      <c r="HV93" s="121"/>
      <c r="HW93" s="121"/>
      <c r="HX93" s="121"/>
      <c r="HY93" s="121"/>
      <c r="HZ93" s="121"/>
      <c r="IA93" s="121"/>
      <c r="IB93" s="120"/>
    </row>
    <row r="94" spans="3:236" ht="3.75" customHeight="1">
      <c r="C94" s="140"/>
      <c r="D94" s="141"/>
      <c r="E94" s="148"/>
      <c r="F94" s="149" t="s">
        <v>1060</v>
      </c>
      <c r="G94" s="149"/>
      <c r="H94" s="149"/>
      <c r="I94" s="149"/>
      <c r="J94" s="149"/>
      <c r="K94" s="149"/>
      <c r="L94" s="149"/>
      <c r="M94" s="149"/>
      <c r="N94" s="149"/>
      <c r="O94" s="121"/>
      <c r="P94" s="121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1"/>
      <c r="AZ94" s="142"/>
      <c r="BC94" s="116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0"/>
      <c r="ER94" s="116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  <c r="GQ94" s="121"/>
      <c r="GR94" s="121"/>
      <c r="GS94" s="121"/>
      <c r="GT94" s="121"/>
      <c r="GU94" s="121"/>
      <c r="GV94" s="121"/>
      <c r="GW94" s="121"/>
      <c r="GX94" s="121"/>
      <c r="GY94" s="121"/>
      <c r="GZ94" s="121"/>
      <c r="HA94" s="121"/>
      <c r="HB94" s="121"/>
      <c r="HC94" s="121"/>
      <c r="HD94" s="121"/>
      <c r="HE94" s="121"/>
      <c r="HF94" s="121"/>
      <c r="HG94" s="121"/>
      <c r="HH94" s="121"/>
      <c r="HI94" s="121"/>
      <c r="HJ94" s="121"/>
      <c r="HK94" s="121"/>
      <c r="HL94" s="121"/>
      <c r="HM94" s="121"/>
      <c r="HN94" s="121"/>
      <c r="HO94" s="121"/>
      <c r="HP94" s="121"/>
      <c r="HQ94" s="121"/>
      <c r="HR94" s="121"/>
      <c r="HS94" s="121"/>
      <c r="HT94" s="121"/>
      <c r="HU94" s="121"/>
      <c r="HV94" s="121"/>
      <c r="HW94" s="121"/>
      <c r="HX94" s="121"/>
      <c r="HY94" s="121"/>
      <c r="HZ94" s="121"/>
      <c r="IA94" s="121"/>
      <c r="IB94" s="120"/>
    </row>
    <row r="95" spans="3:236" ht="3.75" customHeight="1">
      <c r="C95" s="140"/>
      <c r="D95" s="141"/>
      <c r="E95" s="148"/>
      <c r="F95" s="149"/>
      <c r="G95" s="149"/>
      <c r="H95" s="149"/>
      <c r="I95" s="149"/>
      <c r="J95" s="149"/>
      <c r="K95" s="149"/>
      <c r="L95" s="149"/>
      <c r="M95" s="149"/>
      <c r="N95" s="149"/>
      <c r="O95" s="121"/>
      <c r="P95" s="121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7"/>
      <c r="AT95" s="147"/>
      <c r="AU95" s="147"/>
      <c r="AV95" s="147"/>
      <c r="AW95" s="147"/>
      <c r="AX95" s="147"/>
      <c r="AY95" s="141"/>
      <c r="AZ95" s="142"/>
      <c r="BC95" s="116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0"/>
      <c r="ER95" s="116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  <c r="GQ95" s="121"/>
      <c r="GR95" s="121"/>
      <c r="GS95" s="121"/>
      <c r="GT95" s="121"/>
      <c r="GU95" s="121"/>
      <c r="GV95" s="121"/>
      <c r="GW95" s="121"/>
      <c r="GX95" s="121"/>
      <c r="GY95" s="121"/>
      <c r="GZ95" s="121"/>
      <c r="HA95" s="121"/>
      <c r="HB95" s="121"/>
      <c r="HC95" s="121"/>
      <c r="HD95" s="121"/>
      <c r="HE95" s="121"/>
      <c r="HF95" s="121"/>
      <c r="HG95" s="121"/>
      <c r="HH95" s="121"/>
      <c r="HI95" s="121"/>
      <c r="HJ95" s="121"/>
      <c r="HK95" s="121"/>
      <c r="HL95" s="121"/>
      <c r="HM95" s="121"/>
      <c r="HN95" s="121"/>
      <c r="HO95" s="121"/>
      <c r="HP95" s="121"/>
      <c r="HQ95" s="121"/>
      <c r="HR95" s="121"/>
      <c r="HS95" s="121"/>
      <c r="HT95" s="121"/>
      <c r="HU95" s="121"/>
      <c r="HV95" s="121"/>
      <c r="HW95" s="121"/>
      <c r="HX95" s="121"/>
      <c r="HY95" s="121"/>
      <c r="HZ95" s="121"/>
      <c r="IA95" s="121"/>
      <c r="IB95" s="120"/>
    </row>
    <row r="96" spans="3:236" ht="3.75" customHeight="1">
      <c r="C96" s="140"/>
      <c r="D96" s="141"/>
      <c r="E96" s="148"/>
      <c r="F96" s="149"/>
      <c r="G96" s="149"/>
      <c r="H96" s="149"/>
      <c r="I96" s="149"/>
      <c r="J96" s="149"/>
      <c r="K96" s="149"/>
      <c r="L96" s="149"/>
      <c r="M96" s="149"/>
      <c r="N96" s="149"/>
      <c r="O96" s="121"/>
      <c r="P96" s="121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1"/>
      <c r="AZ96" s="142"/>
      <c r="BC96" s="116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0"/>
      <c r="ER96" s="116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  <c r="GQ96" s="121"/>
      <c r="GR96" s="121"/>
      <c r="GS96" s="121"/>
      <c r="GT96" s="121"/>
      <c r="GU96" s="121"/>
      <c r="GV96" s="121"/>
      <c r="GW96" s="121"/>
      <c r="GX96" s="121"/>
      <c r="GY96" s="121"/>
      <c r="GZ96" s="121"/>
      <c r="HA96" s="121"/>
      <c r="HB96" s="121"/>
      <c r="HC96" s="121"/>
      <c r="HD96" s="121"/>
      <c r="HE96" s="121"/>
      <c r="HF96" s="121"/>
      <c r="HG96" s="121"/>
      <c r="HH96" s="121"/>
      <c r="HI96" s="121"/>
      <c r="HJ96" s="121"/>
      <c r="HK96" s="121"/>
      <c r="HL96" s="121"/>
      <c r="HM96" s="121"/>
      <c r="HN96" s="121"/>
      <c r="HO96" s="121"/>
      <c r="HP96" s="121"/>
      <c r="HQ96" s="121"/>
      <c r="HR96" s="121"/>
      <c r="HS96" s="121"/>
      <c r="HT96" s="121"/>
      <c r="HU96" s="121"/>
      <c r="HV96" s="121"/>
      <c r="HW96" s="121"/>
      <c r="HX96" s="121"/>
      <c r="HY96" s="121"/>
      <c r="HZ96" s="121"/>
      <c r="IA96" s="121"/>
      <c r="IB96" s="120"/>
    </row>
    <row r="97" spans="3:236" ht="3.75" customHeight="1">
      <c r="C97" s="140"/>
      <c r="D97" s="141"/>
      <c r="E97" s="148"/>
      <c r="F97" s="149"/>
      <c r="G97" s="149"/>
      <c r="H97" s="149"/>
      <c r="I97" s="149"/>
      <c r="J97" s="149"/>
      <c r="K97" s="149"/>
      <c r="L97" s="149"/>
      <c r="M97" s="149"/>
      <c r="N97" s="149"/>
      <c r="O97" s="121"/>
      <c r="P97" s="121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1"/>
      <c r="AZ97" s="142"/>
      <c r="BC97" s="116"/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1"/>
      <c r="CI97" s="121"/>
      <c r="CJ97" s="121"/>
      <c r="CK97" s="121"/>
      <c r="CL97" s="121"/>
      <c r="CM97" s="121"/>
      <c r="CN97" s="121"/>
      <c r="CO97" s="121"/>
      <c r="CP97" s="121"/>
      <c r="CQ97" s="121"/>
      <c r="CR97" s="121"/>
      <c r="CS97" s="121"/>
      <c r="CT97" s="121"/>
      <c r="CU97" s="121"/>
      <c r="CV97" s="121"/>
      <c r="CW97" s="121"/>
      <c r="CX97" s="121"/>
      <c r="CY97" s="121"/>
      <c r="CZ97" s="121"/>
      <c r="DA97" s="121"/>
      <c r="DB97" s="121"/>
      <c r="DC97" s="121"/>
      <c r="DD97" s="121"/>
      <c r="DE97" s="121"/>
      <c r="DF97" s="121"/>
      <c r="DG97" s="121"/>
      <c r="DH97" s="121"/>
      <c r="DI97" s="121"/>
      <c r="DJ97" s="121"/>
      <c r="DK97" s="121"/>
      <c r="DL97" s="121"/>
      <c r="DM97" s="121"/>
      <c r="DN97" s="121"/>
      <c r="DO97" s="121"/>
      <c r="DP97" s="121"/>
      <c r="DQ97" s="121"/>
      <c r="DR97" s="121"/>
      <c r="DS97" s="121"/>
      <c r="DT97" s="121"/>
      <c r="DU97" s="121"/>
      <c r="DV97" s="121"/>
      <c r="DW97" s="121"/>
      <c r="DX97" s="121"/>
      <c r="DY97" s="121"/>
      <c r="DZ97" s="121"/>
      <c r="EA97" s="121"/>
      <c r="EB97" s="121"/>
      <c r="EC97" s="121"/>
      <c r="ED97" s="121"/>
      <c r="EE97" s="121"/>
      <c r="EF97" s="121"/>
      <c r="EG97" s="121"/>
      <c r="EH97" s="121"/>
      <c r="EI97" s="121"/>
      <c r="EJ97" s="121"/>
      <c r="EK97" s="121"/>
      <c r="EL97" s="121"/>
      <c r="EM97" s="121"/>
      <c r="EN97" s="121"/>
      <c r="EO97" s="121"/>
      <c r="EP97" s="120"/>
      <c r="ER97" s="116"/>
      <c r="ES97" s="121"/>
      <c r="ET97" s="121"/>
      <c r="EU97" s="121"/>
      <c r="EV97" s="121"/>
      <c r="EW97" s="121"/>
      <c r="EX97" s="121"/>
      <c r="EY97" s="121"/>
      <c r="EZ97" s="121"/>
      <c r="FA97" s="121"/>
      <c r="FB97" s="121"/>
      <c r="FC97" s="121"/>
      <c r="FD97" s="121"/>
      <c r="FE97" s="121"/>
      <c r="FF97" s="121"/>
      <c r="FG97" s="121"/>
      <c r="FH97" s="121"/>
      <c r="FI97" s="121"/>
      <c r="FJ97" s="121"/>
      <c r="FK97" s="121"/>
      <c r="FL97" s="121"/>
      <c r="FM97" s="121"/>
      <c r="FN97" s="121"/>
      <c r="FO97" s="121"/>
      <c r="FP97" s="121"/>
      <c r="FQ97" s="121"/>
      <c r="FR97" s="121"/>
      <c r="FS97" s="121"/>
      <c r="FT97" s="121"/>
      <c r="FU97" s="121"/>
      <c r="FV97" s="121"/>
      <c r="FW97" s="121"/>
      <c r="FX97" s="121"/>
      <c r="FY97" s="121"/>
      <c r="FZ97" s="121"/>
      <c r="GA97" s="121"/>
      <c r="GB97" s="121"/>
      <c r="GC97" s="121"/>
      <c r="GD97" s="121"/>
      <c r="GE97" s="121"/>
      <c r="GF97" s="121"/>
      <c r="GG97" s="121"/>
      <c r="GH97" s="121"/>
      <c r="GI97" s="121"/>
      <c r="GJ97" s="121"/>
      <c r="GK97" s="121"/>
      <c r="GL97" s="121"/>
      <c r="GM97" s="121"/>
      <c r="GN97" s="121"/>
      <c r="GO97" s="121"/>
      <c r="GP97" s="121"/>
      <c r="GQ97" s="121"/>
      <c r="GR97" s="121"/>
      <c r="GS97" s="121"/>
      <c r="GT97" s="121"/>
      <c r="GU97" s="121"/>
      <c r="GV97" s="121"/>
      <c r="GW97" s="121"/>
      <c r="GX97" s="121"/>
      <c r="GY97" s="121"/>
      <c r="GZ97" s="121"/>
      <c r="HA97" s="121"/>
      <c r="HB97" s="121"/>
      <c r="HC97" s="121"/>
      <c r="HD97" s="121"/>
      <c r="HE97" s="121"/>
      <c r="HF97" s="121"/>
      <c r="HG97" s="121"/>
      <c r="HH97" s="121"/>
      <c r="HI97" s="121"/>
      <c r="HJ97" s="121"/>
      <c r="HK97" s="121"/>
      <c r="HL97" s="121"/>
      <c r="HM97" s="121"/>
      <c r="HN97" s="121"/>
      <c r="HO97" s="121"/>
      <c r="HP97" s="121"/>
      <c r="HQ97" s="121"/>
      <c r="HR97" s="121"/>
      <c r="HS97" s="121"/>
      <c r="HT97" s="121"/>
      <c r="HU97" s="121"/>
      <c r="HV97" s="121"/>
      <c r="HW97" s="121"/>
      <c r="HX97" s="121"/>
      <c r="HY97" s="121"/>
      <c r="HZ97" s="121"/>
      <c r="IA97" s="121"/>
      <c r="IB97" s="120"/>
    </row>
    <row r="98" spans="3:236" ht="3.75" customHeight="1">
      <c r="C98" s="140"/>
      <c r="D98" s="141"/>
      <c r="E98" s="148"/>
      <c r="F98" s="149"/>
      <c r="G98" s="149"/>
      <c r="H98" s="149"/>
      <c r="I98" s="149"/>
      <c r="J98" s="149"/>
      <c r="K98" s="149"/>
      <c r="L98" s="149"/>
      <c r="M98" s="149"/>
      <c r="N98" s="149"/>
      <c r="O98" s="121"/>
      <c r="P98" s="121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1"/>
      <c r="AZ98" s="142"/>
      <c r="BC98" s="116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0"/>
      <c r="ER98" s="116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  <c r="GQ98" s="121"/>
      <c r="GR98" s="121"/>
      <c r="GS98" s="121"/>
      <c r="GT98" s="121"/>
      <c r="GU98" s="121"/>
      <c r="GV98" s="121"/>
      <c r="GW98" s="121"/>
      <c r="GX98" s="121"/>
      <c r="GY98" s="121"/>
      <c r="GZ98" s="121"/>
      <c r="HA98" s="121"/>
      <c r="HB98" s="121"/>
      <c r="HC98" s="121"/>
      <c r="HD98" s="121"/>
      <c r="HE98" s="121"/>
      <c r="HF98" s="121"/>
      <c r="HG98" s="121"/>
      <c r="HH98" s="121"/>
      <c r="HI98" s="121"/>
      <c r="HJ98" s="121"/>
      <c r="HK98" s="121"/>
      <c r="HL98" s="121"/>
      <c r="HM98" s="121"/>
      <c r="HN98" s="121"/>
      <c r="HO98" s="121"/>
      <c r="HP98" s="121"/>
      <c r="HQ98" s="121"/>
      <c r="HR98" s="121"/>
      <c r="HS98" s="121"/>
      <c r="HT98" s="121"/>
      <c r="HU98" s="121"/>
      <c r="HV98" s="121"/>
      <c r="HW98" s="121"/>
      <c r="HX98" s="121"/>
      <c r="HY98" s="121"/>
      <c r="HZ98" s="121"/>
      <c r="IA98" s="121"/>
      <c r="IB98" s="120"/>
    </row>
    <row r="99" spans="3:236" ht="3.75" customHeight="1">
      <c r="C99" s="140"/>
      <c r="D99" s="141"/>
      <c r="E99" s="148"/>
      <c r="F99" s="149"/>
      <c r="G99" s="149"/>
      <c r="H99" s="149"/>
      <c r="I99" s="149"/>
      <c r="J99" s="149"/>
      <c r="K99" s="149"/>
      <c r="L99" s="149"/>
      <c r="M99" s="149"/>
      <c r="N99" s="149"/>
      <c r="O99" s="121"/>
      <c r="P99" s="121"/>
      <c r="Q99" s="150" t="s">
        <v>1061</v>
      </c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41"/>
      <c r="AZ99" s="142"/>
      <c r="BC99" s="116"/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121"/>
      <c r="DH99" s="121"/>
      <c r="DI99" s="121"/>
      <c r="DJ99" s="121"/>
      <c r="DK99" s="121"/>
      <c r="DL99" s="121"/>
      <c r="DM99" s="121"/>
      <c r="DN99" s="121"/>
      <c r="DO99" s="121"/>
      <c r="DP99" s="121"/>
      <c r="DQ99" s="121"/>
      <c r="DR99" s="121"/>
      <c r="DS99" s="121"/>
      <c r="DT99" s="121"/>
      <c r="DU99" s="121"/>
      <c r="DV99" s="121"/>
      <c r="DW99" s="121"/>
      <c r="DX99" s="121"/>
      <c r="DY99" s="121"/>
      <c r="DZ99" s="121"/>
      <c r="EA99" s="121"/>
      <c r="EB99" s="121"/>
      <c r="EC99" s="121"/>
      <c r="ED99" s="121"/>
      <c r="EE99" s="121"/>
      <c r="EF99" s="121"/>
      <c r="EG99" s="121"/>
      <c r="EH99" s="121"/>
      <c r="EI99" s="121"/>
      <c r="EJ99" s="121"/>
      <c r="EK99" s="121"/>
      <c r="EL99" s="121"/>
      <c r="EM99" s="121"/>
      <c r="EN99" s="121"/>
      <c r="EO99" s="121"/>
      <c r="EP99" s="120"/>
      <c r="ER99" s="151"/>
      <c r="ES99" s="152"/>
      <c r="ET99" s="152"/>
      <c r="EU99" s="152"/>
      <c r="EV99" s="152"/>
      <c r="EW99" s="152"/>
      <c r="EX99" s="152"/>
      <c r="EY99" s="152"/>
      <c r="EZ99" s="152"/>
      <c r="FA99" s="152"/>
      <c r="FB99" s="152"/>
      <c r="FC99" s="152"/>
      <c r="FD99" s="152"/>
      <c r="FE99" s="152"/>
      <c r="FF99" s="152"/>
      <c r="FG99" s="152"/>
      <c r="FH99" s="152"/>
      <c r="FI99" s="152"/>
      <c r="FJ99" s="152"/>
      <c r="FK99" s="152"/>
      <c r="FL99" s="152"/>
      <c r="FM99" s="152"/>
      <c r="FN99" s="152"/>
      <c r="FO99" s="152"/>
      <c r="FP99" s="152"/>
      <c r="FQ99" s="152"/>
      <c r="FR99" s="152"/>
      <c r="FS99" s="152"/>
      <c r="FT99" s="152"/>
      <c r="FU99" s="152"/>
      <c r="FV99" s="152"/>
      <c r="FW99" s="152"/>
      <c r="FX99" s="152"/>
      <c r="FY99" s="152"/>
      <c r="FZ99" s="152"/>
      <c r="GA99" s="152"/>
      <c r="GB99" s="152"/>
      <c r="GC99" s="152"/>
      <c r="GD99" s="152"/>
      <c r="GE99" s="152"/>
      <c r="GF99" s="152"/>
      <c r="GG99" s="152"/>
      <c r="GH99" s="152"/>
      <c r="GI99" s="152"/>
      <c r="GJ99" s="152"/>
      <c r="GK99" s="152"/>
      <c r="GL99" s="152"/>
      <c r="GM99" s="152"/>
      <c r="GN99" s="152"/>
      <c r="GO99" s="152"/>
      <c r="GP99" s="152"/>
      <c r="GQ99" s="152"/>
      <c r="GR99" s="152"/>
      <c r="GS99" s="152"/>
      <c r="GT99" s="152"/>
      <c r="GU99" s="152"/>
      <c r="GV99" s="152"/>
      <c r="GW99" s="152"/>
      <c r="GX99" s="152"/>
      <c r="GY99" s="152"/>
      <c r="GZ99" s="152"/>
      <c r="HA99" s="152"/>
      <c r="HB99" s="152"/>
      <c r="HC99" s="152"/>
      <c r="HD99" s="152"/>
      <c r="HE99" s="152"/>
      <c r="HF99" s="152"/>
      <c r="HG99" s="152"/>
      <c r="HH99" s="152"/>
      <c r="HI99" s="152"/>
      <c r="HJ99" s="152"/>
      <c r="HK99" s="152"/>
      <c r="HL99" s="152"/>
      <c r="HM99" s="152"/>
      <c r="HN99" s="152"/>
      <c r="HO99" s="152"/>
      <c r="HP99" s="152"/>
      <c r="HQ99" s="152"/>
      <c r="HR99" s="152"/>
      <c r="HS99" s="152"/>
      <c r="HT99" s="152"/>
      <c r="HU99" s="152"/>
      <c r="HV99" s="152"/>
      <c r="HW99" s="152"/>
      <c r="HX99" s="152"/>
      <c r="HY99" s="152"/>
      <c r="HZ99" s="152"/>
      <c r="IA99" s="152"/>
      <c r="IB99" s="153"/>
    </row>
    <row r="100" spans="3:236" ht="3.75" customHeight="1">
      <c r="C100" s="140"/>
      <c r="D100" s="141"/>
      <c r="E100" s="148"/>
      <c r="F100" s="149"/>
      <c r="G100" s="149"/>
      <c r="H100" s="149"/>
      <c r="I100" s="149"/>
      <c r="J100" s="149"/>
      <c r="K100" s="149"/>
      <c r="L100" s="149"/>
      <c r="M100" s="149"/>
      <c r="N100" s="149"/>
      <c r="O100" s="121"/>
      <c r="P100" s="121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41"/>
      <c r="AZ100" s="142"/>
      <c r="BC100" s="151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2"/>
      <c r="CL100" s="152"/>
      <c r="CM100" s="152"/>
      <c r="CN100" s="152"/>
      <c r="CO100" s="152"/>
      <c r="CP100" s="152"/>
      <c r="CQ100" s="152"/>
      <c r="CR100" s="152"/>
      <c r="CS100" s="152"/>
      <c r="CT100" s="152"/>
      <c r="CU100" s="152"/>
      <c r="CV100" s="152"/>
      <c r="CW100" s="152"/>
      <c r="CX100" s="152"/>
      <c r="CY100" s="152"/>
      <c r="CZ100" s="152"/>
      <c r="DA100" s="152"/>
      <c r="DB100" s="152"/>
      <c r="DC100" s="152"/>
      <c r="DD100" s="152"/>
      <c r="DE100" s="152"/>
      <c r="DF100" s="152"/>
      <c r="DG100" s="152"/>
      <c r="DH100" s="152"/>
      <c r="DI100" s="152"/>
      <c r="DJ100" s="152"/>
      <c r="DK100" s="152"/>
      <c r="DL100" s="152"/>
      <c r="DM100" s="152"/>
      <c r="DN100" s="152"/>
      <c r="DO100" s="152"/>
      <c r="DP100" s="152"/>
      <c r="DQ100" s="152"/>
      <c r="DR100" s="152"/>
      <c r="DS100" s="152"/>
      <c r="DT100" s="152"/>
      <c r="DU100" s="152"/>
      <c r="DV100" s="152"/>
      <c r="DW100" s="152"/>
      <c r="DX100" s="152"/>
      <c r="DY100" s="152"/>
      <c r="DZ100" s="152"/>
      <c r="EA100" s="152"/>
      <c r="EB100" s="152"/>
      <c r="EC100" s="152"/>
      <c r="ED100" s="152"/>
      <c r="EE100" s="152"/>
      <c r="EF100" s="152"/>
      <c r="EG100" s="152"/>
      <c r="EH100" s="152"/>
      <c r="EI100" s="152"/>
      <c r="EJ100" s="152"/>
      <c r="EK100" s="152"/>
      <c r="EL100" s="152"/>
      <c r="EM100" s="152"/>
      <c r="EN100" s="152"/>
      <c r="EO100" s="152"/>
      <c r="EP100" s="153"/>
    </row>
    <row r="101" spans="3:236" ht="3.75" customHeight="1">
      <c r="C101" s="140"/>
      <c r="D101" s="141"/>
      <c r="E101" s="148"/>
      <c r="F101" s="149"/>
      <c r="G101" s="149"/>
      <c r="H101" s="149"/>
      <c r="I101" s="149"/>
      <c r="J101" s="149"/>
      <c r="K101" s="149"/>
      <c r="L101" s="149"/>
      <c r="M101" s="149"/>
      <c r="N101" s="149"/>
      <c r="O101" s="121"/>
      <c r="P101" s="121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41"/>
      <c r="AZ101" s="142"/>
    </row>
    <row r="102" spans="3:236" ht="3.75" customHeight="1">
      <c r="C102" s="140"/>
      <c r="D102" s="141"/>
      <c r="E102" s="154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41"/>
      <c r="AZ102" s="142"/>
      <c r="BC102" s="113"/>
      <c r="BD102" s="114"/>
      <c r="BE102" s="114"/>
      <c r="BF102" s="114"/>
      <c r="BG102" s="114"/>
      <c r="BH102" s="114"/>
      <c r="BI102" s="114"/>
      <c r="BJ102" s="114"/>
      <c r="BK102" s="114"/>
      <c r="BL102" s="114"/>
      <c r="BM102" s="114"/>
      <c r="BN102" s="114"/>
      <c r="BO102" s="114"/>
      <c r="BP102" s="114"/>
      <c r="BQ102" s="114"/>
      <c r="BR102" s="114"/>
      <c r="BS102" s="114"/>
      <c r="BT102" s="114"/>
      <c r="BU102" s="114"/>
      <c r="BV102" s="114"/>
      <c r="BW102" s="114"/>
      <c r="BX102" s="114"/>
      <c r="BY102" s="114"/>
      <c r="BZ102" s="114"/>
      <c r="CA102" s="114"/>
      <c r="CB102" s="114"/>
      <c r="CC102" s="114"/>
      <c r="CD102" s="114"/>
      <c r="CE102" s="114"/>
      <c r="CF102" s="114"/>
      <c r="CG102" s="114"/>
      <c r="CH102" s="114"/>
      <c r="CI102" s="114"/>
      <c r="CJ102" s="114"/>
      <c r="CK102" s="114"/>
      <c r="CL102" s="114"/>
      <c r="CM102" s="114"/>
      <c r="CN102" s="114"/>
      <c r="CO102" s="114"/>
      <c r="CP102" s="114"/>
      <c r="CQ102" s="114"/>
      <c r="CR102" s="114"/>
      <c r="CS102" s="114"/>
      <c r="CT102" s="114"/>
      <c r="CU102" s="114"/>
      <c r="CV102" s="114"/>
      <c r="CW102" s="114"/>
      <c r="CX102" s="114"/>
      <c r="CY102" s="114"/>
      <c r="CZ102" s="114"/>
      <c r="DA102" s="114"/>
      <c r="DB102" s="114"/>
      <c r="DC102" s="114"/>
      <c r="DD102" s="114"/>
      <c r="DE102" s="114"/>
      <c r="DF102" s="114"/>
      <c r="DG102" s="114"/>
      <c r="DH102" s="114"/>
      <c r="DI102" s="114"/>
      <c r="DJ102" s="114"/>
      <c r="DK102" s="114"/>
      <c r="DL102" s="114"/>
      <c r="DM102" s="114"/>
      <c r="DN102" s="114"/>
      <c r="DO102" s="114"/>
      <c r="DP102" s="114"/>
      <c r="DQ102" s="114"/>
      <c r="DR102" s="114"/>
      <c r="DS102" s="114"/>
      <c r="DT102" s="114"/>
      <c r="DU102" s="114"/>
      <c r="DV102" s="114"/>
      <c r="DW102" s="114"/>
      <c r="DX102" s="114"/>
      <c r="DY102" s="114"/>
      <c r="DZ102" s="114"/>
      <c r="EA102" s="114"/>
      <c r="EB102" s="114"/>
      <c r="EC102" s="114"/>
      <c r="ED102" s="114"/>
      <c r="EE102" s="114"/>
      <c r="EF102" s="114"/>
      <c r="EG102" s="114"/>
      <c r="EH102" s="114"/>
      <c r="EI102" s="114"/>
      <c r="EJ102" s="114"/>
      <c r="EK102" s="114"/>
      <c r="EL102" s="114"/>
      <c r="EM102" s="115"/>
      <c r="EP102" s="113"/>
      <c r="EQ102" s="114"/>
      <c r="ER102" s="114"/>
      <c r="ES102" s="114"/>
      <c r="ET102" s="114"/>
      <c r="EU102" s="114"/>
      <c r="EV102" s="114"/>
      <c r="EW102" s="114"/>
      <c r="EX102" s="114"/>
      <c r="EY102" s="114"/>
      <c r="EZ102" s="114"/>
      <c r="FA102" s="114"/>
      <c r="FB102" s="114"/>
      <c r="FC102" s="114"/>
      <c r="FD102" s="114"/>
      <c r="FE102" s="114"/>
      <c r="FF102" s="114"/>
      <c r="FG102" s="114"/>
      <c r="FH102" s="114"/>
      <c r="FI102" s="114"/>
      <c r="FJ102" s="114"/>
      <c r="FK102" s="114"/>
      <c r="FL102" s="114"/>
      <c r="FM102" s="114"/>
      <c r="FN102" s="114"/>
      <c r="FO102" s="114"/>
      <c r="FP102" s="114"/>
      <c r="FQ102" s="114"/>
      <c r="FR102" s="114"/>
      <c r="FS102" s="114"/>
      <c r="FT102" s="114"/>
      <c r="FU102" s="114"/>
      <c r="FV102" s="114"/>
      <c r="FW102" s="114"/>
      <c r="FX102" s="114"/>
      <c r="FY102" s="114"/>
      <c r="FZ102" s="114"/>
      <c r="GA102" s="114"/>
      <c r="GB102" s="114"/>
      <c r="GC102" s="114"/>
      <c r="GD102" s="114"/>
      <c r="GE102" s="114"/>
      <c r="GF102" s="114"/>
      <c r="GG102" s="114"/>
      <c r="GH102" s="114"/>
      <c r="GI102" s="114"/>
      <c r="GJ102" s="114"/>
      <c r="GK102" s="114"/>
      <c r="GL102" s="114"/>
      <c r="GM102" s="114"/>
      <c r="GN102" s="114"/>
      <c r="GO102" s="114"/>
      <c r="GP102" s="114"/>
      <c r="GQ102" s="114"/>
      <c r="GR102" s="114"/>
      <c r="GS102" s="114"/>
      <c r="GT102" s="114"/>
      <c r="GU102" s="114"/>
      <c r="GV102" s="114"/>
      <c r="GW102" s="114"/>
      <c r="GX102" s="114"/>
      <c r="GY102" s="114"/>
      <c r="GZ102" s="114"/>
      <c r="HA102" s="114"/>
      <c r="HB102" s="114"/>
      <c r="HC102" s="114"/>
      <c r="HD102" s="114"/>
      <c r="HE102" s="114"/>
      <c r="HF102" s="114"/>
      <c r="HG102" s="114"/>
      <c r="HH102" s="114"/>
      <c r="HI102" s="114"/>
      <c r="HJ102" s="114"/>
      <c r="HK102" s="114"/>
      <c r="HL102" s="114"/>
      <c r="HM102" s="114"/>
      <c r="HN102" s="114"/>
      <c r="HO102" s="114"/>
      <c r="HP102" s="114"/>
      <c r="HQ102" s="114"/>
      <c r="HR102" s="114"/>
      <c r="HS102" s="114"/>
      <c r="HT102" s="114"/>
      <c r="HU102" s="114"/>
      <c r="HV102" s="114"/>
      <c r="HW102" s="114"/>
      <c r="HX102" s="114"/>
      <c r="HY102" s="114"/>
      <c r="HZ102" s="114"/>
      <c r="IA102" s="114"/>
      <c r="IB102" s="115"/>
    </row>
    <row r="103" spans="3:236" ht="3.75" customHeight="1">
      <c r="C103" s="140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/>
      <c r="AZ103" s="142"/>
      <c r="BC103" s="116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117"/>
      <c r="BT103" s="117"/>
      <c r="BU103" s="117"/>
      <c r="BV103" s="117"/>
      <c r="BW103" s="117"/>
      <c r="BX103" s="117"/>
      <c r="BY103" s="117"/>
      <c r="BZ103" s="117"/>
      <c r="CA103" s="117"/>
      <c r="CB103" s="117"/>
      <c r="CC103" s="117"/>
      <c r="CD103" s="117"/>
      <c r="CE103" s="117"/>
      <c r="CF103" s="117"/>
      <c r="CG103" s="117"/>
      <c r="CH103" s="117"/>
      <c r="CI103" s="117"/>
      <c r="CJ103" s="117"/>
      <c r="CK103" s="117"/>
      <c r="CL103" s="117"/>
      <c r="CM103" s="117"/>
      <c r="CN103" s="117"/>
      <c r="CO103" s="117"/>
      <c r="CP103" s="117"/>
      <c r="CQ103" s="117"/>
      <c r="CR103" s="117"/>
      <c r="CS103" s="117"/>
      <c r="CT103" s="117"/>
      <c r="CU103" s="117"/>
      <c r="CV103" s="117"/>
      <c r="CW103" s="117"/>
      <c r="CX103" s="117"/>
      <c r="CY103" s="117"/>
      <c r="CZ103" s="117"/>
      <c r="DA103" s="117"/>
      <c r="DB103" s="117"/>
      <c r="DC103" s="117"/>
      <c r="DD103" s="117"/>
      <c r="DE103" s="117"/>
      <c r="DF103" s="117"/>
      <c r="DG103" s="117"/>
      <c r="DH103" s="117"/>
      <c r="DI103" s="117"/>
      <c r="DJ103" s="117"/>
      <c r="DK103" s="117"/>
      <c r="DL103" s="117"/>
      <c r="DM103" s="117"/>
      <c r="DN103" s="117"/>
      <c r="DO103" s="117"/>
      <c r="DP103" s="117"/>
      <c r="DQ103" s="117"/>
      <c r="DR103" s="117"/>
      <c r="DS103" s="117"/>
      <c r="DT103" s="117"/>
      <c r="DU103" s="117"/>
      <c r="DV103" s="117"/>
      <c r="DW103" s="117"/>
      <c r="DX103" s="117"/>
      <c r="DY103" s="117"/>
      <c r="DZ103" s="117"/>
      <c r="EA103" s="117"/>
      <c r="EB103" s="117"/>
      <c r="EC103" s="117"/>
      <c r="ED103" s="117"/>
      <c r="EE103" s="117"/>
      <c r="EF103" s="117"/>
      <c r="EG103" s="117"/>
      <c r="EH103" s="117"/>
      <c r="EI103" s="117"/>
      <c r="EJ103" s="117"/>
      <c r="EK103" s="117"/>
      <c r="EL103" s="117"/>
      <c r="EM103" s="120"/>
      <c r="EP103" s="116"/>
      <c r="EQ103" s="117"/>
      <c r="ER103" s="117"/>
      <c r="ES103" s="117"/>
      <c r="ET103" s="117"/>
      <c r="EU103" s="117"/>
      <c r="EV103" s="117"/>
      <c r="EW103" s="117"/>
      <c r="EX103" s="117"/>
      <c r="EY103" s="117"/>
      <c r="EZ103" s="117"/>
      <c r="FA103" s="117"/>
      <c r="FB103" s="117"/>
      <c r="FC103" s="117"/>
      <c r="FD103" s="117"/>
      <c r="FE103" s="117"/>
      <c r="FF103" s="117"/>
      <c r="FG103" s="117"/>
      <c r="FH103" s="117"/>
      <c r="FI103" s="117"/>
      <c r="FJ103" s="117"/>
      <c r="FK103" s="117"/>
      <c r="FL103" s="117"/>
      <c r="FM103" s="117"/>
      <c r="FN103" s="117"/>
      <c r="FO103" s="117"/>
      <c r="FP103" s="117"/>
      <c r="FQ103" s="117"/>
      <c r="FR103" s="117"/>
      <c r="FS103" s="117"/>
      <c r="FT103" s="117"/>
      <c r="FU103" s="117"/>
      <c r="FV103" s="117"/>
      <c r="FW103" s="117"/>
      <c r="FX103" s="117"/>
      <c r="FY103" s="117"/>
      <c r="FZ103" s="117"/>
      <c r="GA103" s="117"/>
      <c r="GB103" s="117"/>
      <c r="GC103" s="117"/>
      <c r="GD103" s="117"/>
      <c r="GE103" s="117"/>
      <c r="GF103" s="117"/>
      <c r="GG103" s="117"/>
      <c r="GH103" s="117"/>
      <c r="GI103" s="117"/>
      <c r="GJ103" s="117"/>
      <c r="GK103" s="117"/>
      <c r="GL103" s="117"/>
      <c r="GM103" s="117"/>
      <c r="GN103" s="117"/>
      <c r="GO103" s="117"/>
      <c r="GP103" s="117"/>
      <c r="GQ103" s="117"/>
      <c r="GR103" s="117"/>
      <c r="GS103" s="117"/>
      <c r="GT103" s="117"/>
      <c r="GU103" s="117"/>
      <c r="GV103" s="117"/>
      <c r="GW103" s="117"/>
      <c r="GX103" s="117"/>
      <c r="GY103" s="117"/>
      <c r="GZ103" s="117"/>
      <c r="HA103" s="117"/>
      <c r="HB103" s="117"/>
      <c r="HC103" s="117"/>
      <c r="HD103" s="117"/>
      <c r="HE103" s="117"/>
      <c r="HF103" s="117"/>
      <c r="HG103" s="117"/>
      <c r="HH103" s="117"/>
      <c r="HI103" s="117"/>
      <c r="HJ103" s="117"/>
      <c r="HK103" s="117"/>
      <c r="HL103" s="117"/>
      <c r="HM103" s="117"/>
      <c r="HN103" s="117"/>
      <c r="HO103" s="117"/>
      <c r="HP103" s="117"/>
      <c r="HQ103" s="117"/>
      <c r="HR103" s="117"/>
      <c r="HS103" s="117"/>
      <c r="HT103" s="117"/>
      <c r="HU103" s="117"/>
      <c r="HV103" s="117"/>
      <c r="HW103" s="117"/>
      <c r="HX103" s="117"/>
      <c r="HY103" s="117"/>
      <c r="HZ103" s="117"/>
      <c r="IA103" s="117"/>
      <c r="IB103" s="120"/>
    </row>
    <row r="104" spans="3:236" ht="3.75" customHeight="1">
      <c r="C104" s="140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1"/>
      <c r="AP104" s="141"/>
      <c r="AQ104" s="141"/>
      <c r="AR104" s="141"/>
      <c r="AS104" s="141"/>
      <c r="AT104" s="141"/>
      <c r="AU104" s="141"/>
      <c r="AV104" s="141"/>
      <c r="AW104" s="141"/>
      <c r="AX104" s="141"/>
      <c r="AY104" s="141"/>
      <c r="AZ104" s="142"/>
      <c r="BC104" s="116"/>
      <c r="BD104" s="117"/>
      <c r="BE104" s="118" t="s">
        <v>1058</v>
      </c>
      <c r="BF104" s="118"/>
      <c r="BG104" s="118"/>
      <c r="BH104" s="118"/>
      <c r="BI104" s="118"/>
      <c r="BJ104" s="118"/>
      <c r="BK104" s="118"/>
      <c r="BL104" s="117"/>
      <c r="BM104" s="119" t="s">
        <v>1080</v>
      </c>
      <c r="BN104" s="119"/>
      <c r="BO104" s="119"/>
      <c r="BP104" s="119"/>
      <c r="BQ104" s="119"/>
      <c r="BR104" s="119"/>
      <c r="BS104" s="119"/>
      <c r="BT104" s="119"/>
      <c r="BU104" s="119"/>
      <c r="BV104" s="119"/>
      <c r="BW104" s="119"/>
      <c r="BX104" s="119"/>
      <c r="BY104" s="119"/>
      <c r="BZ104" s="119"/>
      <c r="CA104" s="119"/>
      <c r="CB104" s="119"/>
      <c r="CC104" s="119"/>
      <c r="CD104" s="119"/>
      <c r="CE104" s="119"/>
      <c r="CF104" s="119"/>
      <c r="CG104" s="119"/>
      <c r="CH104" s="119"/>
      <c r="CI104" s="119"/>
      <c r="CJ104" s="119"/>
      <c r="CK104" s="119"/>
      <c r="CL104" s="119"/>
      <c r="CM104" s="119"/>
      <c r="CN104" s="119"/>
      <c r="CO104" s="119"/>
      <c r="CP104" s="119"/>
      <c r="CQ104" s="119"/>
      <c r="CR104" s="119"/>
      <c r="CS104" s="119"/>
      <c r="CT104" s="119"/>
      <c r="CU104" s="119"/>
      <c r="CV104" s="119"/>
      <c r="CW104" s="119"/>
      <c r="CX104" s="119"/>
      <c r="CY104" s="119"/>
      <c r="CZ104" s="119"/>
      <c r="DA104" s="119"/>
      <c r="DB104" s="119"/>
      <c r="DC104" s="119"/>
      <c r="DD104" s="119"/>
      <c r="DE104" s="119"/>
      <c r="DF104" s="119"/>
      <c r="DG104" s="119"/>
      <c r="DH104" s="119"/>
      <c r="DI104" s="119"/>
      <c r="DJ104" s="119"/>
      <c r="DK104" s="119"/>
      <c r="DL104" s="119"/>
      <c r="DM104" s="119"/>
      <c r="DN104" s="119"/>
      <c r="DO104" s="119"/>
      <c r="DP104" s="119"/>
      <c r="DQ104" s="119"/>
      <c r="DR104" s="119"/>
      <c r="DS104" s="119"/>
      <c r="DT104" s="119"/>
      <c r="DU104" s="119"/>
      <c r="DV104" s="119"/>
      <c r="DW104" s="119"/>
      <c r="DX104" s="119"/>
      <c r="DY104" s="119"/>
      <c r="DZ104" s="119"/>
      <c r="EA104" s="119"/>
      <c r="EB104" s="119"/>
      <c r="EC104" s="119"/>
      <c r="ED104" s="119"/>
      <c r="EE104" s="119"/>
      <c r="EF104" s="119"/>
      <c r="EG104" s="119"/>
      <c r="EH104" s="119"/>
      <c r="EI104" s="119"/>
      <c r="EJ104" s="119"/>
      <c r="EK104" s="119"/>
      <c r="EL104" s="117"/>
      <c r="EM104" s="120"/>
      <c r="EP104" s="116"/>
      <c r="EQ104" s="117"/>
      <c r="ER104" s="118" t="s">
        <v>1073</v>
      </c>
      <c r="ES104" s="118"/>
      <c r="ET104" s="118"/>
      <c r="EU104" s="118"/>
      <c r="EV104" s="118"/>
      <c r="EW104" s="118"/>
      <c r="EX104" s="118"/>
      <c r="EY104" s="117"/>
      <c r="EZ104" s="117"/>
      <c r="FA104" s="119" t="s">
        <v>1081</v>
      </c>
      <c r="FB104" s="119"/>
      <c r="FC104" s="119"/>
      <c r="FD104" s="119"/>
      <c r="FE104" s="119"/>
      <c r="FF104" s="119"/>
      <c r="FG104" s="119"/>
      <c r="FH104" s="119"/>
      <c r="FI104" s="119"/>
      <c r="FJ104" s="119"/>
      <c r="FK104" s="119"/>
      <c r="FL104" s="119"/>
      <c r="FM104" s="119"/>
      <c r="FN104" s="119"/>
      <c r="FO104" s="119"/>
      <c r="FP104" s="119"/>
      <c r="FQ104" s="119"/>
      <c r="FR104" s="119"/>
      <c r="FS104" s="119"/>
      <c r="FT104" s="119"/>
      <c r="FU104" s="119"/>
      <c r="FV104" s="119"/>
      <c r="FW104" s="119"/>
      <c r="FX104" s="119"/>
      <c r="FY104" s="119"/>
      <c r="FZ104" s="119"/>
      <c r="GA104" s="119"/>
      <c r="GB104" s="119"/>
      <c r="GC104" s="119"/>
      <c r="GD104" s="119"/>
      <c r="GE104" s="119"/>
      <c r="GF104" s="119"/>
      <c r="GG104" s="119"/>
      <c r="GH104" s="119"/>
      <c r="GI104" s="119"/>
      <c r="GJ104" s="119"/>
      <c r="GK104" s="119"/>
      <c r="GL104" s="119"/>
      <c r="GM104" s="119"/>
      <c r="GN104" s="119"/>
      <c r="GO104" s="119"/>
      <c r="GP104" s="119"/>
      <c r="GQ104" s="119"/>
      <c r="GR104" s="119"/>
      <c r="GS104" s="119"/>
      <c r="GT104" s="119"/>
      <c r="GU104" s="119"/>
      <c r="GV104" s="119"/>
      <c r="GW104" s="119"/>
      <c r="GX104" s="119"/>
      <c r="GY104" s="119"/>
      <c r="GZ104" s="119"/>
      <c r="HA104" s="119"/>
      <c r="HB104" s="119"/>
      <c r="HC104" s="119"/>
      <c r="HD104" s="119"/>
      <c r="HE104" s="119"/>
      <c r="HF104" s="119"/>
      <c r="HG104" s="119"/>
      <c r="HH104" s="119"/>
      <c r="HI104" s="119"/>
      <c r="HJ104" s="119"/>
      <c r="HK104" s="119"/>
      <c r="HL104" s="119"/>
      <c r="HM104" s="119"/>
      <c r="HN104" s="119"/>
      <c r="HO104" s="119"/>
      <c r="HP104" s="119"/>
      <c r="HQ104" s="119"/>
      <c r="HR104" s="119"/>
      <c r="HS104" s="119"/>
      <c r="HT104" s="119"/>
      <c r="HU104" s="119"/>
      <c r="HV104" s="119"/>
      <c r="HW104" s="119"/>
      <c r="HX104" s="119"/>
      <c r="HY104" s="119"/>
      <c r="HZ104" s="117"/>
      <c r="IA104" s="117"/>
      <c r="IB104" s="120"/>
    </row>
    <row r="105" spans="3:236" ht="3.75" customHeight="1">
      <c r="C105" s="140"/>
      <c r="D105" s="141"/>
      <c r="E105" s="145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56"/>
      <c r="AY105" s="141"/>
      <c r="AZ105" s="142"/>
      <c r="BC105" s="116"/>
      <c r="BD105" s="117"/>
      <c r="BE105" s="118"/>
      <c r="BF105" s="118"/>
      <c r="BG105" s="118"/>
      <c r="BH105" s="118"/>
      <c r="BI105" s="118"/>
      <c r="BJ105" s="118"/>
      <c r="BK105" s="118"/>
      <c r="BL105" s="117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  <c r="BZ105" s="119"/>
      <c r="CA105" s="119"/>
      <c r="CB105" s="119"/>
      <c r="CC105" s="119"/>
      <c r="CD105" s="119"/>
      <c r="CE105" s="119"/>
      <c r="CF105" s="119"/>
      <c r="CG105" s="119"/>
      <c r="CH105" s="119"/>
      <c r="CI105" s="119"/>
      <c r="CJ105" s="119"/>
      <c r="CK105" s="119"/>
      <c r="CL105" s="119"/>
      <c r="CM105" s="119"/>
      <c r="CN105" s="119"/>
      <c r="CO105" s="119"/>
      <c r="CP105" s="119"/>
      <c r="CQ105" s="119"/>
      <c r="CR105" s="119"/>
      <c r="CS105" s="119"/>
      <c r="CT105" s="119"/>
      <c r="CU105" s="119"/>
      <c r="CV105" s="119"/>
      <c r="CW105" s="119"/>
      <c r="CX105" s="119"/>
      <c r="CY105" s="119"/>
      <c r="CZ105" s="119"/>
      <c r="DA105" s="119"/>
      <c r="DB105" s="119"/>
      <c r="DC105" s="119"/>
      <c r="DD105" s="119"/>
      <c r="DE105" s="119"/>
      <c r="DF105" s="119"/>
      <c r="DG105" s="119"/>
      <c r="DH105" s="119"/>
      <c r="DI105" s="119"/>
      <c r="DJ105" s="119"/>
      <c r="DK105" s="119"/>
      <c r="DL105" s="119"/>
      <c r="DM105" s="119"/>
      <c r="DN105" s="119"/>
      <c r="DO105" s="119"/>
      <c r="DP105" s="119"/>
      <c r="DQ105" s="119"/>
      <c r="DR105" s="119"/>
      <c r="DS105" s="119"/>
      <c r="DT105" s="119"/>
      <c r="DU105" s="119"/>
      <c r="DV105" s="119"/>
      <c r="DW105" s="119"/>
      <c r="DX105" s="119"/>
      <c r="DY105" s="119"/>
      <c r="DZ105" s="119"/>
      <c r="EA105" s="119"/>
      <c r="EB105" s="119"/>
      <c r="EC105" s="119"/>
      <c r="ED105" s="119"/>
      <c r="EE105" s="119"/>
      <c r="EF105" s="119"/>
      <c r="EG105" s="119"/>
      <c r="EH105" s="119"/>
      <c r="EI105" s="119"/>
      <c r="EJ105" s="119"/>
      <c r="EK105" s="119"/>
      <c r="EL105" s="117"/>
      <c r="EM105" s="120"/>
      <c r="EP105" s="116"/>
      <c r="EQ105" s="117"/>
      <c r="ER105" s="118"/>
      <c r="ES105" s="118"/>
      <c r="ET105" s="118"/>
      <c r="EU105" s="118"/>
      <c r="EV105" s="118"/>
      <c r="EW105" s="118"/>
      <c r="EX105" s="118"/>
      <c r="EY105" s="117"/>
      <c r="EZ105" s="117"/>
      <c r="FA105" s="119"/>
      <c r="FB105" s="119"/>
      <c r="FC105" s="119"/>
      <c r="FD105" s="119"/>
      <c r="FE105" s="119"/>
      <c r="FF105" s="119"/>
      <c r="FG105" s="119"/>
      <c r="FH105" s="119"/>
      <c r="FI105" s="119"/>
      <c r="FJ105" s="119"/>
      <c r="FK105" s="119"/>
      <c r="FL105" s="119"/>
      <c r="FM105" s="119"/>
      <c r="FN105" s="119"/>
      <c r="FO105" s="119"/>
      <c r="FP105" s="119"/>
      <c r="FQ105" s="119"/>
      <c r="FR105" s="119"/>
      <c r="FS105" s="119"/>
      <c r="FT105" s="119"/>
      <c r="FU105" s="119"/>
      <c r="FV105" s="119"/>
      <c r="FW105" s="119"/>
      <c r="FX105" s="119"/>
      <c r="FY105" s="119"/>
      <c r="FZ105" s="119"/>
      <c r="GA105" s="119"/>
      <c r="GB105" s="119"/>
      <c r="GC105" s="119"/>
      <c r="GD105" s="119"/>
      <c r="GE105" s="119"/>
      <c r="GF105" s="119"/>
      <c r="GG105" s="119"/>
      <c r="GH105" s="119"/>
      <c r="GI105" s="119"/>
      <c r="GJ105" s="119"/>
      <c r="GK105" s="119"/>
      <c r="GL105" s="119"/>
      <c r="GM105" s="119"/>
      <c r="GN105" s="119"/>
      <c r="GO105" s="119"/>
      <c r="GP105" s="119"/>
      <c r="GQ105" s="119"/>
      <c r="GR105" s="119"/>
      <c r="GS105" s="119"/>
      <c r="GT105" s="119"/>
      <c r="GU105" s="119"/>
      <c r="GV105" s="119"/>
      <c r="GW105" s="119"/>
      <c r="GX105" s="119"/>
      <c r="GY105" s="119"/>
      <c r="GZ105" s="119"/>
      <c r="HA105" s="119"/>
      <c r="HB105" s="119"/>
      <c r="HC105" s="119"/>
      <c r="HD105" s="119"/>
      <c r="HE105" s="119"/>
      <c r="HF105" s="119"/>
      <c r="HG105" s="119"/>
      <c r="HH105" s="119"/>
      <c r="HI105" s="119"/>
      <c r="HJ105" s="119"/>
      <c r="HK105" s="119"/>
      <c r="HL105" s="119"/>
      <c r="HM105" s="119"/>
      <c r="HN105" s="119"/>
      <c r="HO105" s="119"/>
      <c r="HP105" s="119"/>
      <c r="HQ105" s="119"/>
      <c r="HR105" s="119"/>
      <c r="HS105" s="119"/>
      <c r="HT105" s="119"/>
      <c r="HU105" s="119"/>
      <c r="HV105" s="119"/>
      <c r="HW105" s="119"/>
      <c r="HX105" s="119"/>
      <c r="HY105" s="119"/>
      <c r="HZ105" s="117"/>
      <c r="IA105" s="117"/>
      <c r="IB105" s="120"/>
    </row>
    <row r="106" spans="3:236" ht="3.75" customHeight="1">
      <c r="C106" s="140"/>
      <c r="D106" s="141"/>
      <c r="E106" s="148"/>
      <c r="F106" s="149" t="s">
        <v>1062</v>
      </c>
      <c r="G106" s="149"/>
      <c r="H106" s="149"/>
      <c r="I106" s="149"/>
      <c r="J106" s="149"/>
      <c r="K106" s="149"/>
      <c r="L106" s="149"/>
      <c r="M106" s="149"/>
      <c r="N106" s="149"/>
      <c r="O106" s="121"/>
      <c r="P106" s="121"/>
      <c r="Q106" s="147">
        <f>IFERROR(IFERROR(GETPIVOTDATA("Rides",'Pivot Table 1'!$A$3,"ride_status","CANCELLED"),0)/GETPIVOTDATA("Rides",'Pivot Table 4'!$A$3),0)</f>
        <v>0.222</v>
      </c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147"/>
      <c r="AY106" s="141"/>
      <c r="AZ106" s="142"/>
      <c r="BC106" s="116"/>
      <c r="BD106" s="117"/>
      <c r="BE106" s="118"/>
      <c r="BF106" s="118"/>
      <c r="BG106" s="118"/>
      <c r="BH106" s="118"/>
      <c r="BI106" s="118"/>
      <c r="BJ106" s="118"/>
      <c r="BK106" s="118"/>
      <c r="BL106" s="117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9"/>
      <c r="CA106" s="119"/>
      <c r="CB106" s="119"/>
      <c r="CC106" s="119"/>
      <c r="CD106" s="119"/>
      <c r="CE106" s="119"/>
      <c r="CF106" s="119"/>
      <c r="CG106" s="119"/>
      <c r="CH106" s="119"/>
      <c r="CI106" s="119"/>
      <c r="CJ106" s="119"/>
      <c r="CK106" s="119"/>
      <c r="CL106" s="119"/>
      <c r="CM106" s="119"/>
      <c r="CN106" s="119"/>
      <c r="CO106" s="119"/>
      <c r="CP106" s="119"/>
      <c r="CQ106" s="119"/>
      <c r="CR106" s="119"/>
      <c r="CS106" s="119"/>
      <c r="CT106" s="119"/>
      <c r="CU106" s="119"/>
      <c r="CV106" s="119"/>
      <c r="CW106" s="119"/>
      <c r="CX106" s="119"/>
      <c r="CY106" s="119"/>
      <c r="CZ106" s="119"/>
      <c r="DA106" s="119"/>
      <c r="DB106" s="119"/>
      <c r="DC106" s="119"/>
      <c r="DD106" s="119"/>
      <c r="DE106" s="119"/>
      <c r="DF106" s="119"/>
      <c r="DG106" s="119"/>
      <c r="DH106" s="119"/>
      <c r="DI106" s="119"/>
      <c r="DJ106" s="119"/>
      <c r="DK106" s="119"/>
      <c r="DL106" s="119"/>
      <c r="DM106" s="119"/>
      <c r="DN106" s="119"/>
      <c r="DO106" s="119"/>
      <c r="DP106" s="119"/>
      <c r="DQ106" s="119"/>
      <c r="DR106" s="119"/>
      <c r="DS106" s="119"/>
      <c r="DT106" s="119"/>
      <c r="DU106" s="119"/>
      <c r="DV106" s="119"/>
      <c r="DW106" s="119"/>
      <c r="DX106" s="119"/>
      <c r="DY106" s="119"/>
      <c r="DZ106" s="119"/>
      <c r="EA106" s="119"/>
      <c r="EB106" s="119"/>
      <c r="EC106" s="119"/>
      <c r="ED106" s="119"/>
      <c r="EE106" s="119"/>
      <c r="EF106" s="119"/>
      <c r="EG106" s="119"/>
      <c r="EH106" s="119"/>
      <c r="EI106" s="119"/>
      <c r="EJ106" s="119"/>
      <c r="EK106" s="119"/>
      <c r="EL106" s="117"/>
      <c r="EM106" s="120"/>
      <c r="EP106" s="116"/>
      <c r="EQ106" s="117"/>
      <c r="ER106" s="118"/>
      <c r="ES106" s="118"/>
      <c r="ET106" s="118"/>
      <c r="EU106" s="118"/>
      <c r="EV106" s="118"/>
      <c r="EW106" s="118"/>
      <c r="EX106" s="118"/>
      <c r="EY106" s="117"/>
      <c r="EZ106" s="117"/>
      <c r="FA106" s="119"/>
      <c r="FB106" s="119"/>
      <c r="FC106" s="119"/>
      <c r="FD106" s="119"/>
      <c r="FE106" s="119"/>
      <c r="FF106" s="119"/>
      <c r="FG106" s="119"/>
      <c r="FH106" s="119"/>
      <c r="FI106" s="119"/>
      <c r="FJ106" s="119"/>
      <c r="FK106" s="119"/>
      <c r="FL106" s="119"/>
      <c r="FM106" s="119"/>
      <c r="FN106" s="119"/>
      <c r="FO106" s="119"/>
      <c r="FP106" s="119"/>
      <c r="FQ106" s="119"/>
      <c r="FR106" s="119"/>
      <c r="FS106" s="119"/>
      <c r="FT106" s="119"/>
      <c r="FU106" s="119"/>
      <c r="FV106" s="119"/>
      <c r="FW106" s="119"/>
      <c r="FX106" s="119"/>
      <c r="FY106" s="119"/>
      <c r="FZ106" s="119"/>
      <c r="GA106" s="119"/>
      <c r="GB106" s="119"/>
      <c r="GC106" s="119"/>
      <c r="GD106" s="119"/>
      <c r="GE106" s="119"/>
      <c r="GF106" s="119"/>
      <c r="GG106" s="119"/>
      <c r="GH106" s="119"/>
      <c r="GI106" s="119"/>
      <c r="GJ106" s="119"/>
      <c r="GK106" s="119"/>
      <c r="GL106" s="119"/>
      <c r="GM106" s="119"/>
      <c r="GN106" s="119"/>
      <c r="GO106" s="119"/>
      <c r="GP106" s="119"/>
      <c r="GQ106" s="119"/>
      <c r="GR106" s="119"/>
      <c r="GS106" s="119"/>
      <c r="GT106" s="119"/>
      <c r="GU106" s="119"/>
      <c r="GV106" s="119"/>
      <c r="GW106" s="119"/>
      <c r="GX106" s="119"/>
      <c r="GY106" s="119"/>
      <c r="GZ106" s="119"/>
      <c r="HA106" s="119"/>
      <c r="HB106" s="119"/>
      <c r="HC106" s="119"/>
      <c r="HD106" s="119"/>
      <c r="HE106" s="119"/>
      <c r="HF106" s="119"/>
      <c r="HG106" s="119"/>
      <c r="HH106" s="119"/>
      <c r="HI106" s="119"/>
      <c r="HJ106" s="119"/>
      <c r="HK106" s="119"/>
      <c r="HL106" s="119"/>
      <c r="HM106" s="119"/>
      <c r="HN106" s="119"/>
      <c r="HO106" s="119"/>
      <c r="HP106" s="119"/>
      <c r="HQ106" s="119"/>
      <c r="HR106" s="119"/>
      <c r="HS106" s="119"/>
      <c r="HT106" s="119"/>
      <c r="HU106" s="119"/>
      <c r="HV106" s="119"/>
      <c r="HW106" s="119"/>
      <c r="HX106" s="119"/>
      <c r="HY106" s="119"/>
      <c r="HZ106" s="117"/>
      <c r="IA106" s="117"/>
      <c r="IB106" s="120"/>
    </row>
    <row r="107" spans="3:236" ht="3.75" customHeight="1">
      <c r="C107" s="140"/>
      <c r="D107" s="141"/>
      <c r="E107" s="148"/>
      <c r="F107" s="149"/>
      <c r="G107" s="149"/>
      <c r="H107" s="149"/>
      <c r="I107" s="149"/>
      <c r="J107" s="149"/>
      <c r="K107" s="149"/>
      <c r="L107" s="149"/>
      <c r="M107" s="149"/>
      <c r="N107" s="149"/>
      <c r="O107" s="121"/>
      <c r="P107" s="121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1"/>
      <c r="AZ107" s="142"/>
      <c r="BC107" s="116"/>
      <c r="BD107" s="117"/>
      <c r="BE107" s="118"/>
      <c r="BF107" s="118"/>
      <c r="BG107" s="118"/>
      <c r="BH107" s="118"/>
      <c r="BI107" s="118"/>
      <c r="BJ107" s="118"/>
      <c r="BK107" s="118"/>
      <c r="BL107" s="117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9"/>
      <c r="CA107" s="119"/>
      <c r="CB107" s="119"/>
      <c r="CC107" s="119"/>
      <c r="CD107" s="119"/>
      <c r="CE107" s="119"/>
      <c r="CF107" s="119"/>
      <c r="CG107" s="119"/>
      <c r="CH107" s="119"/>
      <c r="CI107" s="119"/>
      <c r="CJ107" s="119"/>
      <c r="CK107" s="119"/>
      <c r="CL107" s="119"/>
      <c r="CM107" s="119"/>
      <c r="CN107" s="119"/>
      <c r="CO107" s="119"/>
      <c r="CP107" s="119"/>
      <c r="CQ107" s="119"/>
      <c r="CR107" s="119"/>
      <c r="CS107" s="119"/>
      <c r="CT107" s="119"/>
      <c r="CU107" s="119"/>
      <c r="CV107" s="119"/>
      <c r="CW107" s="119"/>
      <c r="CX107" s="119"/>
      <c r="CY107" s="119"/>
      <c r="CZ107" s="119"/>
      <c r="DA107" s="119"/>
      <c r="DB107" s="119"/>
      <c r="DC107" s="119"/>
      <c r="DD107" s="119"/>
      <c r="DE107" s="119"/>
      <c r="DF107" s="119"/>
      <c r="DG107" s="119"/>
      <c r="DH107" s="119"/>
      <c r="DI107" s="119"/>
      <c r="DJ107" s="119"/>
      <c r="DK107" s="119"/>
      <c r="DL107" s="119"/>
      <c r="DM107" s="119"/>
      <c r="DN107" s="119"/>
      <c r="DO107" s="119"/>
      <c r="DP107" s="119"/>
      <c r="DQ107" s="119"/>
      <c r="DR107" s="119"/>
      <c r="DS107" s="119"/>
      <c r="DT107" s="119"/>
      <c r="DU107" s="119"/>
      <c r="DV107" s="119"/>
      <c r="DW107" s="119"/>
      <c r="DX107" s="119"/>
      <c r="DY107" s="119"/>
      <c r="DZ107" s="119"/>
      <c r="EA107" s="119"/>
      <c r="EB107" s="119"/>
      <c r="EC107" s="119"/>
      <c r="ED107" s="119"/>
      <c r="EE107" s="119"/>
      <c r="EF107" s="119"/>
      <c r="EG107" s="119"/>
      <c r="EH107" s="119"/>
      <c r="EI107" s="119"/>
      <c r="EJ107" s="119"/>
      <c r="EK107" s="119"/>
      <c r="EL107" s="117"/>
      <c r="EM107" s="120"/>
      <c r="EP107" s="116"/>
      <c r="EQ107" s="117"/>
      <c r="ER107" s="118"/>
      <c r="ES107" s="118"/>
      <c r="ET107" s="118"/>
      <c r="EU107" s="118"/>
      <c r="EV107" s="118"/>
      <c r="EW107" s="118"/>
      <c r="EX107" s="118"/>
      <c r="EY107" s="117"/>
      <c r="EZ107" s="117"/>
      <c r="FA107" s="119"/>
      <c r="FB107" s="119"/>
      <c r="FC107" s="119"/>
      <c r="FD107" s="119"/>
      <c r="FE107" s="119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119"/>
      <c r="GL107" s="119"/>
      <c r="GM107" s="119"/>
      <c r="GN107" s="119"/>
      <c r="GO107" s="119"/>
      <c r="GP107" s="119"/>
      <c r="GQ107" s="119"/>
      <c r="GR107" s="119"/>
      <c r="GS107" s="119"/>
      <c r="GT107" s="119"/>
      <c r="GU107" s="119"/>
      <c r="GV107" s="119"/>
      <c r="GW107" s="119"/>
      <c r="GX107" s="119"/>
      <c r="GY107" s="119"/>
      <c r="GZ107" s="119"/>
      <c r="HA107" s="119"/>
      <c r="HB107" s="119"/>
      <c r="HC107" s="119"/>
      <c r="HD107" s="119"/>
      <c r="HE107" s="119"/>
      <c r="HF107" s="119"/>
      <c r="HG107" s="119"/>
      <c r="HH107" s="119"/>
      <c r="HI107" s="119"/>
      <c r="HJ107" s="119"/>
      <c r="HK107" s="119"/>
      <c r="HL107" s="119"/>
      <c r="HM107" s="119"/>
      <c r="HN107" s="119"/>
      <c r="HO107" s="119"/>
      <c r="HP107" s="119"/>
      <c r="HQ107" s="119"/>
      <c r="HR107" s="119"/>
      <c r="HS107" s="119"/>
      <c r="HT107" s="119"/>
      <c r="HU107" s="119"/>
      <c r="HV107" s="119"/>
      <c r="HW107" s="119"/>
      <c r="HX107" s="119"/>
      <c r="HY107" s="119"/>
      <c r="HZ107" s="117"/>
      <c r="IA107" s="117"/>
      <c r="IB107" s="120"/>
    </row>
    <row r="108" spans="3:236" ht="3.75" customHeight="1">
      <c r="C108" s="140"/>
      <c r="D108" s="141"/>
      <c r="E108" s="148"/>
      <c r="F108" s="149"/>
      <c r="G108" s="149"/>
      <c r="H108" s="149"/>
      <c r="I108" s="149"/>
      <c r="J108" s="149"/>
      <c r="K108" s="149"/>
      <c r="L108" s="149"/>
      <c r="M108" s="149"/>
      <c r="N108" s="149"/>
      <c r="O108" s="121"/>
      <c r="P108" s="121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47"/>
      <c r="AY108" s="141"/>
      <c r="AZ108" s="142"/>
      <c r="BC108" s="116"/>
      <c r="BD108" s="117"/>
      <c r="BE108" s="118"/>
      <c r="BF108" s="118"/>
      <c r="BG108" s="118"/>
      <c r="BH108" s="118"/>
      <c r="BI108" s="118"/>
      <c r="BJ108" s="118"/>
      <c r="BK108" s="118"/>
      <c r="BL108" s="117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9"/>
      <c r="CA108" s="119"/>
      <c r="CB108" s="119"/>
      <c r="CC108" s="119"/>
      <c r="CD108" s="119"/>
      <c r="CE108" s="119"/>
      <c r="CF108" s="119"/>
      <c r="CG108" s="119"/>
      <c r="CH108" s="119"/>
      <c r="CI108" s="119"/>
      <c r="CJ108" s="119"/>
      <c r="CK108" s="119"/>
      <c r="CL108" s="119"/>
      <c r="CM108" s="119"/>
      <c r="CN108" s="119"/>
      <c r="CO108" s="119"/>
      <c r="CP108" s="119"/>
      <c r="CQ108" s="119"/>
      <c r="CR108" s="119"/>
      <c r="CS108" s="119"/>
      <c r="CT108" s="119"/>
      <c r="CU108" s="119"/>
      <c r="CV108" s="119"/>
      <c r="CW108" s="119"/>
      <c r="CX108" s="119"/>
      <c r="CY108" s="119"/>
      <c r="CZ108" s="119"/>
      <c r="DA108" s="119"/>
      <c r="DB108" s="119"/>
      <c r="DC108" s="119"/>
      <c r="DD108" s="119"/>
      <c r="DE108" s="119"/>
      <c r="DF108" s="119"/>
      <c r="DG108" s="119"/>
      <c r="DH108" s="119"/>
      <c r="DI108" s="119"/>
      <c r="DJ108" s="119"/>
      <c r="DK108" s="119"/>
      <c r="DL108" s="119"/>
      <c r="DM108" s="119"/>
      <c r="DN108" s="119"/>
      <c r="DO108" s="119"/>
      <c r="DP108" s="119"/>
      <c r="DQ108" s="119"/>
      <c r="DR108" s="119"/>
      <c r="DS108" s="119"/>
      <c r="DT108" s="119"/>
      <c r="DU108" s="119"/>
      <c r="DV108" s="119"/>
      <c r="DW108" s="119"/>
      <c r="DX108" s="119"/>
      <c r="DY108" s="119"/>
      <c r="DZ108" s="119"/>
      <c r="EA108" s="119"/>
      <c r="EB108" s="119"/>
      <c r="EC108" s="119"/>
      <c r="ED108" s="119"/>
      <c r="EE108" s="119"/>
      <c r="EF108" s="119"/>
      <c r="EG108" s="119"/>
      <c r="EH108" s="119"/>
      <c r="EI108" s="119"/>
      <c r="EJ108" s="119"/>
      <c r="EK108" s="119"/>
      <c r="EL108" s="117"/>
      <c r="EM108" s="120"/>
      <c r="EP108" s="116"/>
      <c r="EQ108" s="117"/>
      <c r="ER108" s="118"/>
      <c r="ES108" s="118"/>
      <c r="ET108" s="118"/>
      <c r="EU108" s="118"/>
      <c r="EV108" s="118"/>
      <c r="EW108" s="118"/>
      <c r="EX108" s="118"/>
      <c r="EY108" s="117"/>
      <c r="EZ108" s="117"/>
      <c r="FA108" s="119"/>
      <c r="FB108" s="119"/>
      <c r="FC108" s="119"/>
      <c r="FD108" s="119"/>
      <c r="FE108" s="119"/>
      <c r="FF108" s="119"/>
      <c r="FG108" s="119"/>
      <c r="FH108" s="119"/>
      <c r="FI108" s="119"/>
      <c r="FJ108" s="119"/>
      <c r="FK108" s="119"/>
      <c r="FL108" s="119"/>
      <c r="FM108" s="119"/>
      <c r="FN108" s="119"/>
      <c r="FO108" s="119"/>
      <c r="FP108" s="119"/>
      <c r="FQ108" s="119"/>
      <c r="FR108" s="119"/>
      <c r="FS108" s="119"/>
      <c r="FT108" s="119"/>
      <c r="FU108" s="119"/>
      <c r="FV108" s="119"/>
      <c r="FW108" s="119"/>
      <c r="FX108" s="119"/>
      <c r="FY108" s="119"/>
      <c r="FZ108" s="119"/>
      <c r="GA108" s="119"/>
      <c r="GB108" s="119"/>
      <c r="GC108" s="119"/>
      <c r="GD108" s="119"/>
      <c r="GE108" s="119"/>
      <c r="GF108" s="119"/>
      <c r="GG108" s="119"/>
      <c r="GH108" s="119"/>
      <c r="GI108" s="119"/>
      <c r="GJ108" s="119"/>
      <c r="GK108" s="119"/>
      <c r="GL108" s="119"/>
      <c r="GM108" s="119"/>
      <c r="GN108" s="119"/>
      <c r="GO108" s="119"/>
      <c r="GP108" s="119"/>
      <c r="GQ108" s="119"/>
      <c r="GR108" s="119"/>
      <c r="GS108" s="119"/>
      <c r="GT108" s="119"/>
      <c r="GU108" s="119"/>
      <c r="GV108" s="119"/>
      <c r="GW108" s="119"/>
      <c r="GX108" s="119"/>
      <c r="GY108" s="119"/>
      <c r="GZ108" s="119"/>
      <c r="HA108" s="119"/>
      <c r="HB108" s="119"/>
      <c r="HC108" s="119"/>
      <c r="HD108" s="119"/>
      <c r="HE108" s="119"/>
      <c r="HF108" s="119"/>
      <c r="HG108" s="119"/>
      <c r="HH108" s="119"/>
      <c r="HI108" s="119"/>
      <c r="HJ108" s="119"/>
      <c r="HK108" s="119"/>
      <c r="HL108" s="119"/>
      <c r="HM108" s="119"/>
      <c r="HN108" s="119"/>
      <c r="HO108" s="119"/>
      <c r="HP108" s="119"/>
      <c r="HQ108" s="119"/>
      <c r="HR108" s="119"/>
      <c r="HS108" s="119"/>
      <c r="HT108" s="119"/>
      <c r="HU108" s="119"/>
      <c r="HV108" s="119"/>
      <c r="HW108" s="119"/>
      <c r="HX108" s="119"/>
      <c r="HY108" s="119"/>
      <c r="HZ108" s="117"/>
      <c r="IA108" s="117"/>
      <c r="IB108" s="120"/>
    </row>
    <row r="109" spans="3:236" ht="3.75" customHeight="1">
      <c r="C109" s="140"/>
      <c r="D109" s="141"/>
      <c r="E109" s="148"/>
      <c r="F109" s="149"/>
      <c r="G109" s="149"/>
      <c r="H109" s="149"/>
      <c r="I109" s="149"/>
      <c r="J109" s="149"/>
      <c r="K109" s="149"/>
      <c r="L109" s="149"/>
      <c r="M109" s="149"/>
      <c r="N109" s="149"/>
      <c r="O109" s="121"/>
      <c r="P109" s="121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7"/>
      <c r="AT109" s="147"/>
      <c r="AU109" s="147"/>
      <c r="AV109" s="147"/>
      <c r="AW109" s="147"/>
      <c r="AX109" s="147"/>
      <c r="AY109" s="141"/>
      <c r="AZ109" s="142"/>
      <c r="BC109" s="116"/>
      <c r="BD109" s="117"/>
      <c r="BE109" s="118"/>
      <c r="BF109" s="118"/>
      <c r="BG109" s="118"/>
      <c r="BH109" s="118"/>
      <c r="BI109" s="118"/>
      <c r="BJ109" s="118"/>
      <c r="BK109" s="118"/>
      <c r="BL109" s="117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9"/>
      <c r="CA109" s="119"/>
      <c r="CB109" s="119"/>
      <c r="CC109" s="119"/>
      <c r="CD109" s="119"/>
      <c r="CE109" s="119"/>
      <c r="CF109" s="119"/>
      <c r="CG109" s="119"/>
      <c r="CH109" s="119"/>
      <c r="CI109" s="119"/>
      <c r="CJ109" s="119"/>
      <c r="CK109" s="119"/>
      <c r="CL109" s="119"/>
      <c r="CM109" s="119"/>
      <c r="CN109" s="119"/>
      <c r="CO109" s="119"/>
      <c r="CP109" s="119"/>
      <c r="CQ109" s="119"/>
      <c r="CR109" s="119"/>
      <c r="CS109" s="119"/>
      <c r="CT109" s="119"/>
      <c r="CU109" s="119"/>
      <c r="CV109" s="119"/>
      <c r="CW109" s="119"/>
      <c r="CX109" s="119"/>
      <c r="CY109" s="119"/>
      <c r="CZ109" s="119"/>
      <c r="DA109" s="119"/>
      <c r="DB109" s="119"/>
      <c r="DC109" s="119"/>
      <c r="DD109" s="119"/>
      <c r="DE109" s="119"/>
      <c r="DF109" s="119"/>
      <c r="DG109" s="119"/>
      <c r="DH109" s="119"/>
      <c r="DI109" s="119"/>
      <c r="DJ109" s="119"/>
      <c r="DK109" s="119"/>
      <c r="DL109" s="119"/>
      <c r="DM109" s="119"/>
      <c r="DN109" s="119"/>
      <c r="DO109" s="119"/>
      <c r="DP109" s="119"/>
      <c r="DQ109" s="119"/>
      <c r="DR109" s="119"/>
      <c r="DS109" s="119"/>
      <c r="DT109" s="119"/>
      <c r="DU109" s="119"/>
      <c r="DV109" s="119"/>
      <c r="DW109" s="119"/>
      <c r="DX109" s="119"/>
      <c r="DY109" s="119"/>
      <c r="DZ109" s="119"/>
      <c r="EA109" s="119"/>
      <c r="EB109" s="119"/>
      <c r="EC109" s="119"/>
      <c r="ED109" s="119"/>
      <c r="EE109" s="119"/>
      <c r="EF109" s="119"/>
      <c r="EG109" s="119"/>
      <c r="EH109" s="119"/>
      <c r="EI109" s="119"/>
      <c r="EJ109" s="119"/>
      <c r="EK109" s="119"/>
      <c r="EL109" s="117"/>
      <c r="EM109" s="120"/>
      <c r="EP109" s="116"/>
      <c r="EQ109" s="117"/>
      <c r="ER109" s="118"/>
      <c r="ES109" s="118"/>
      <c r="ET109" s="118"/>
      <c r="EU109" s="118"/>
      <c r="EV109" s="118"/>
      <c r="EW109" s="118"/>
      <c r="EX109" s="118"/>
      <c r="EY109" s="117"/>
      <c r="EZ109" s="117"/>
      <c r="FA109" s="119"/>
      <c r="FB109" s="119"/>
      <c r="FC109" s="119"/>
      <c r="FD109" s="119"/>
      <c r="FE109" s="119"/>
      <c r="FF109" s="119"/>
      <c r="FG109" s="119"/>
      <c r="FH109" s="119"/>
      <c r="FI109" s="119"/>
      <c r="FJ109" s="119"/>
      <c r="FK109" s="119"/>
      <c r="FL109" s="119"/>
      <c r="FM109" s="119"/>
      <c r="FN109" s="119"/>
      <c r="FO109" s="119"/>
      <c r="FP109" s="119"/>
      <c r="FQ109" s="119"/>
      <c r="FR109" s="119"/>
      <c r="FS109" s="119"/>
      <c r="FT109" s="119"/>
      <c r="FU109" s="119"/>
      <c r="FV109" s="119"/>
      <c r="FW109" s="119"/>
      <c r="FX109" s="119"/>
      <c r="FY109" s="119"/>
      <c r="FZ109" s="119"/>
      <c r="GA109" s="119"/>
      <c r="GB109" s="119"/>
      <c r="GC109" s="119"/>
      <c r="GD109" s="119"/>
      <c r="GE109" s="119"/>
      <c r="GF109" s="119"/>
      <c r="GG109" s="119"/>
      <c r="GH109" s="119"/>
      <c r="GI109" s="119"/>
      <c r="GJ109" s="119"/>
      <c r="GK109" s="119"/>
      <c r="GL109" s="119"/>
      <c r="GM109" s="119"/>
      <c r="GN109" s="119"/>
      <c r="GO109" s="119"/>
      <c r="GP109" s="119"/>
      <c r="GQ109" s="119"/>
      <c r="GR109" s="119"/>
      <c r="GS109" s="119"/>
      <c r="GT109" s="119"/>
      <c r="GU109" s="119"/>
      <c r="GV109" s="119"/>
      <c r="GW109" s="119"/>
      <c r="GX109" s="119"/>
      <c r="GY109" s="119"/>
      <c r="GZ109" s="119"/>
      <c r="HA109" s="119"/>
      <c r="HB109" s="119"/>
      <c r="HC109" s="119"/>
      <c r="HD109" s="119"/>
      <c r="HE109" s="119"/>
      <c r="HF109" s="119"/>
      <c r="HG109" s="119"/>
      <c r="HH109" s="119"/>
      <c r="HI109" s="119"/>
      <c r="HJ109" s="119"/>
      <c r="HK109" s="119"/>
      <c r="HL109" s="119"/>
      <c r="HM109" s="119"/>
      <c r="HN109" s="119"/>
      <c r="HO109" s="119"/>
      <c r="HP109" s="119"/>
      <c r="HQ109" s="119"/>
      <c r="HR109" s="119"/>
      <c r="HS109" s="119"/>
      <c r="HT109" s="119"/>
      <c r="HU109" s="119"/>
      <c r="HV109" s="119"/>
      <c r="HW109" s="119"/>
      <c r="HX109" s="119"/>
      <c r="HY109" s="119"/>
      <c r="HZ109" s="117"/>
      <c r="IA109" s="117"/>
      <c r="IB109" s="120"/>
    </row>
    <row r="110" spans="3:236" ht="3.75" customHeight="1">
      <c r="C110" s="140"/>
      <c r="D110" s="141"/>
      <c r="E110" s="148"/>
      <c r="F110" s="149"/>
      <c r="G110" s="149"/>
      <c r="H110" s="149"/>
      <c r="I110" s="149"/>
      <c r="J110" s="149"/>
      <c r="K110" s="149"/>
      <c r="L110" s="149"/>
      <c r="M110" s="149"/>
      <c r="N110" s="149"/>
      <c r="O110" s="121"/>
      <c r="P110" s="121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147"/>
      <c r="AN110" s="147"/>
      <c r="AO110" s="147"/>
      <c r="AP110" s="147"/>
      <c r="AQ110" s="147"/>
      <c r="AR110" s="147"/>
      <c r="AS110" s="147"/>
      <c r="AT110" s="147"/>
      <c r="AU110" s="147"/>
      <c r="AV110" s="147"/>
      <c r="AW110" s="147"/>
      <c r="AX110" s="147"/>
      <c r="AY110" s="141"/>
      <c r="AZ110" s="142"/>
      <c r="BC110" s="116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0"/>
      <c r="EP110" s="116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  <c r="GQ110" s="121"/>
      <c r="GR110" s="121"/>
      <c r="GS110" s="121"/>
      <c r="GT110" s="121"/>
      <c r="GU110" s="121"/>
      <c r="GV110" s="121"/>
      <c r="GW110" s="121"/>
      <c r="GX110" s="121"/>
      <c r="GY110" s="121"/>
      <c r="GZ110" s="121"/>
      <c r="HA110" s="121"/>
      <c r="HB110" s="121"/>
      <c r="HC110" s="121"/>
      <c r="HD110" s="121"/>
      <c r="HE110" s="121"/>
      <c r="HF110" s="121"/>
      <c r="HG110" s="121"/>
      <c r="HH110" s="121"/>
      <c r="HI110" s="121"/>
      <c r="HJ110" s="121"/>
      <c r="HK110" s="121"/>
      <c r="HL110" s="121"/>
      <c r="HM110" s="121"/>
      <c r="HN110" s="121"/>
      <c r="HO110" s="121"/>
      <c r="HP110" s="121"/>
      <c r="HQ110" s="121"/>
      <c r="HR110" s="121"/>
      <c r="HS110" s="121"/>
      <c r="HT110" s="121"/>
      <c r="HU110" s="121"/>
      <c r="HV110" s="121"/>
      <c r="HW110" s="121"/>
      <c r="HX110" s="121"/>
      <c r="HY110" s="121"/>
      <c r="HZ110" s="121"/>
      <c r="IA110" s="121"/>
      <c r="IB110" s="120"/>
    </row>
    <row r="111" spans="3:236" ht="3.75" customHeight="1">
      <c r="C111" s="140"/>
      <c r="D111" s="141"/>
      <c r="E111" s="148"/>
      <c r="F111" s="149"/>
      <c r="G111" s="149"/>
      <c r="H111" s="149"/>
      <c r="I111" s="149"/>
      <c r="J111" s="149"/>
      <c r="K111" s="149"/>
      <c r="L111" s="149"/>
      <c r="M111" s="149"/>
      <c r="N111" s="149"/>
      <c r="O111" s="121"/>
      <c r="P111" s="121"/>
      <c r="Q111" s="150" t="s">
        <v>1063</v>
      </c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150"/>
      <c r="AG111" s="150"/>
      <c r="AH111" s="150"/>
      <c r="AI111" s="150"/>
      <c r="AJ111" s="150"/>
      <c r="AK111" s="150"/>
      <c r="AL111" s="150"/>
      <c r="AM111" s="150"/>
      <c r="AN111" s="150"/>
      <c r="AO111" s="150"/>
      <c r="AP111" s="150"/>
      <c r="AQ111" s="150"/>
      <c r="AR111" s="150"/>
      <c r="AS111" s="150"/>
      <c r="AT111" s="150"/>
      <c r="AU111" s="150"/>
      <c r="AV111" s="150"/>
      <c r="AW111" s="150"/>
      <c r="AX111" s="150"/>
      <c r="AY111" s="141"/>
      <c r="AZ111" s="142"/>
      <c r="BC111" s="116"/>
      <c r="BD111" s="121"/>
      <c r="BE111" s="121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/>
      <c r="CD111" s="121"/>
      <c r="CE111" s="121"/>
      <c r="CF111" s="121"/>
      <c r="CG111" s="121"/>
      <c r="CH111" s="121"/>
      <c r="CI111" s="121"/>
      <c r="CJ111" s="121"/>
      <c r="CK111" s="121"/>
      <c r="CL111" s="121"/>
      <c r="CM111" s="121"/>
      <c r="CN111" s="121"/>
      <c r="CO111" s="121"/>
      <c r="CP111" s="121"/>
      <c r="CQ111" s="121"/>
      <c r="CR111" s="121"/>
      <c r="CS111" s="121"/>
      <c r="CT111" s="121"/>
      <c r="CU111" s="121"/>
      <c r="CV111" s="121"/>
      <c r="CW111" s="121"/>
      <c r="CX111" s="121"/>
      <c r="CY111" s="121"/>
      <c r="CZ111" s="121"/>
      <c r="DA111" s="121"/>
      <c r="DB111" s="121"/>
      <c r="DC111" s="121"/>
      <c r="DD111" s="121"/>
      <c r="DE111" s="121"/>
      <c r="DF111" s="121"/>
      <c r="DG111" s="121"/>
      <c r="DH111" s="121"/>
      <c r="DI111" s="121"/>
      <c r="DJ111" s="121"/>
      <c r="DK111" s="121"/>
      <c r="DL111" s="121"/>
      <c r="DM111" s="121"/>
      <c r="DN111" s="121"/>
      <c r="DO111" s="121"/>
      <c r="DP111" s="121"/>
      <c r="DQ111" s="121"/>
      <c r="DR111" s="121"/>
      <c r="DS111" s="121"/>
      <c r="DT111" s="121"/>
      <c r="DU111" s="121"/>
      <c r="DV111" s="121"/>
      <c r="DW111" s="121"/>
      <c r="DX111" s="121"/>
      <c r="DY111" s="121"/>
      <c r="DZ111" s="121"/>
      <c r="EA111" s="121"/>
      <c r="EB111" s="121"/>
      <c r="EC111" s="121"/>
      <c r="ED111" s="121"/>
      <c r="EE111" s="121"/>
      <c r="EF111" s="121"/>
      <c r="EG111" s="121"/>
      <c r="EH111" s="121"/>
      <c r="EI111" s="121"/>
      <c r="EJ111" s="121"/>
      <c r="EK111" s="121"/>
      <c r="EL111" s="121"/>
      <c r="EM111" s="120"/>
      <c r="EP111" s="116"/>
      <c r="EQ111" s="121"/>
      <c r="ER111" s="121"/>
      <c r="ES111" s="121"/>
      <c r="ET111" s="121"/>
      <c r="EU111" s="121"/>
      <c r="EV111" s="121"/>
      <c r="EW111" s="121"/>
      <c r="EX111" s="121"/>
      <c r="EY111" s="121"/>
      <c r="EZ111" s="121"/>
      <c r="FA111" s="121"/>
      <c r="FB111" s="121"/>
      <c r="FC111" s="121"/>
      <c r="FD111" s="121"/>
      <c r="FE111" s="121"/>
      <c r="FF111" s="121"/>
      <c r="FG111" s="121"/>
      <c r="FH111" s="121"/>
      <c r="FI111" s="121"/>
      <c r="FJ111" s="121"/>
      <c r="FK111" s="121"/>
      <c r="FL111" s="121"/>
      <c r="FM111" s="121"/>
      <c r="FN111" s="121"/>
      <c r="FO111" s="121"/>
      <c r="FP111" s="121"/>
      <c r="FQ111" s="121"/>
      <c r="FR111" s="121"/>
      <c r="FS111" s="121"/>
      <c r="FT111" s="121"/>
      <c r="FU111" s="121"/>
      <c r="FV111" s="121"/>
      <c r="FW111" s="121"/>
      <c r="FX111" s="121"/>
      <c r="FY111" s="121"/>
      <c r="FZ111" s="121"/>
      <c r="GA111" s="121"/>
      <c r="GB111" s="121"/>
      <c r="GC111" s="121"/>
      <c r="GD111" s="121"/>
      <c r="GE111" s="121"/>
      <c r="GF111" s="121"/>
      <c r="GG111" s="121"/>
      <c r="GH111" s="121"/>
      <c r="GI111" s="121"/>
      <c r="GJ111" s="121"/>
      <c r="GK111" s="121"/>
      <c r="GL111" s="121"/>
      <c r="GM111" s="121"/>
      <c r="GN111" s="121"/>
      <c r="GO111" s="121"/>
      <c r="GP111" s="121"/>
      <c r="GQ111" s="121"/>
      <c r="GR111" s="121"/>
      <c r="GS111" s="121"/>
      <c r="GT111" s="121"/>
      <c r="GU111" s="121"/>
      <c r="GV111" s="121"/>
      <c r="GW111" s="121"/>
      <c r="GX111" s="121"/>
      <c r="GY111" s="121"/>
      <c r="GZ111" s="121"/>
      <c r="HA111" s="121"/>
      <c r="HB111" s="121"/>
      <c r="HC111" s="121"/>
      <c r="HD111" s="121"/>
      <c r="HE111" s="121"/>
      <c r="HF111" s="121"/>
      <c r="HG111" s="121"/>
      <c r="HH111" s="121"/>
      <c r="HI111" s="121"/>
      <c r="HJ111" s="121"/>
      <c r="HK111" s="121"/>
      <c r="HL111" s="121"/>
      <c r="HM111" s="121"/>
      <c r="HN111" s="121"/>
      <c r="HO111" s="121"/>
      <c r="HP111" s="121"/>
      <c r="HQ111" s="121"/>
      <c r="HR111" s="121"/>
      <c r="HS111" s="121"/>
      <c r="HT111" s="121"/>
      <c r="HU111" s="121"/>
      <c r="HV111" s="121"/>
      <c r="HW111" s="121"/>
      <c r="HX111" s="121"/>
      <c r="HY111" s="121"/>
      <c r="HZ111" s="121"/>
      <c r="IA111" s="121"/>
      <c r="IB111" s="120"/>
    </row>
    <row r="112" spans="3:236" ht="3.75" customHeight="1">
      <c r="C112" s="140"/>
      <c r="D112" s="141"/>
      <c r="E112" s="148"/>
      <c r="F112" s="149"/>
      <c r="G112" s="149"/>
      <c r="H112" s="149"/>
      <c r="I112" s="149"/>
      <c r="J112" s="149"/>
      <c r="K112" s="149"/>
      <c r="L112" s="149"/>
      <c r="M112" s="149"/>
      <c r="N112" s="149"/>
      <c r="O112" s="121"/>
      <c r="P112" s="121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  <c r="AB112" s="150"/>
      <c r="AC112" s="150"/>
      <c r="AD112" s="150"/>
      <c r="AE112" s="150"/>
      <c r="AF112" s="150"/>
      <c r="AG112" s="150"/>
      <c r="AH112" s="150"/>
      <c r="AI112" s="150"/>
      <c r="AJ112" s="150"/>
      <c r="AK112" s="150"/>
      <c r="AL112" s="150"/>
      <c r="AM112" s="150"/>
      <c r="AN112" s="150"/>
      <c r="AO112" s="150"/>
      <c r="AP112" s="150"/>
      <c r="AQ112" s="150"/>
      <c r="AR112" s="150"/>
      <c r="AS112" s="150"/>
      <c r="AT112" s="150"/>
      <c r="AU112" s="150"/>
      <c r="AV112" s="150"/>
      <c r="AW112" s="150"/>
      <c r="AX112" s="150"/>
      <c r="AY112" s="141"/>
      <c r="AZ112" s="142"/>
      <c r="BC112" s="116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21"/>
      <c r="BW112" s="121"/>
      <c r="BX112" s="121"/>
      <c r="BY112" s="121"/>
      <c r="BZ112" s="121"/>
      <c r="CA112" s="121"/>
      <c r="CB112" s="121"/>
      <c r="CC112" s="121"/>
      <c r="CD112" s="121"/>
      <c r="CE112" s="121"/>
      <c r="CF112" s="121"/>
      <c r="CG112" s="121"/>
      <c r="CH112" s="121"/>
      <c r="CI112" s="121"/>
      <c r="CJ112" s="121"/>
      <c r="CK112" s="121"/>
      <c r="CL112" s="121"/>
      <c r="CM112" s="121"/>
      <c r="CN112" s="121"/>
      <c r="CO112" s="121"/>
      <c r="CP112" s="121"/>
      <c r="CQ112" s="121"/>
      <c r="CR112" s="121"/>
      <c r="CS112" s="121"/>
      <c r="CT112" s="121"/>
      <c r="CU112" s="121"/>
      <c r="CV112" s="121"/>
      <c r="CW112" s="121"/>
      <c r="CX112" s="121"/>
      <c r="CY112" s="121"/>
      <c r="CZ112" s="121"/>
      <c r="DA112" s="121"/>
      <c r="DB112" s="121"/>
      <c r="DC112" s="121"/>
      <c r="DD112" s="121"/>
      <c r="DE112" s="121"/>
      <c r="DF112" s="121"/>
      <c r="DG112" s="121"/>
      <c r="DH112" s="121"/>
      <c r="DI112" s="121"/>
      <c r="DJ112" s="121"/>
      <c r="DK112" s="121"/>
      <c r="DL112" s="121"/>
      <c r="DM112" s="121"/>
      <c r="DN112" s="121"/>
      <c r="DO112" s="121"/>
      <c r="DP112" s="121"/>
      <c r="DQ112" s="121"/>
      <c r="DR112" s="121"/>
      <c r="DS112" s="121"/>
      <c r="DT112" s="121"/>
      <c r="DU112" s="121"/>
      <c r="DV112" s="121"/>
      <c r="DW112" s="121"/>
      <c r="DX112" s="121"/>
      <c r="DY112" s="121"/>
      <c r="DZ112" s="121"/>
      <c r="EA112" s="121"/>
      <c r="EB112" s="121"/>
      <c r="EC112" s="121"/>
      <c r="ED112" s="121"/>
      <c r="EE112" s="121"/>
      <c r="EF112" s="121"/>
      <c r="EG112" s="121"/>
      <c r="EH112" s="121"/>
      <c r="EI112" s="121"/>
      <c r="EJ112" s="121"/>
      <c r="EK112" s="121"/>
      <c r="EL112" s="121"/>
      <c r="EM112" s="120"/>
      <c r="EP112" s="116"/>
      <c r="EQ112" s="121"/>
      <c r="ER112" s="121"/>
      <c r="ES112" s="121"/>
      <c r="ET112" s="121"/>
      <c r="EU112" s="121"/>
      <c r="EV112" s="121"/>
      <c r="EW112" s="121"/>
      <c r="EX112" s="121"/>
      <c r="EY112" s="121"/>
      <c r="EZ112" s="121"/>
      <c r="FA112" s="121"/>
      <c r="FB112" s="121"/>
      <c r="FC112" s="121"/>
      <c r="FD112" s="121"/>
      <c r="FE112" s="121"/>
      <c r="FF112" s="121"/>
      <c r="FG112" s="121"/>
      <c r="FH112" s="121"/>
      <c r="FI112" s="121"/>
      <c r="FJ112" s="121"/>
      <c r="FK112" s="121"/>
      <c r="FL112" s="121"/>
      <c r="FM112" s="121"/>
      <c r="FN112" s="121"/>
      <c r="FO112" s="121"/>
      <c r="FP112" s="121"/>
      <c r="FQ112" s="121"/>
      <c r="FR112" s="121"/>
      <c r="FS112" s="121"/>
      <c r="FT112" s="121"/>
      <c r="FU112" s="121"/>
      <c r="FV112" s="121"/>
      <c r="FW112" s="121"/>
      <c r="FX112" s="121"/>
      <c r="FY112" s="121"/>
      <c r="FZ112" s="121"/>
      <c r="GA112" s="121"/>
      <c r="GB112" s="121"/>
      <c r="GC112" s="121"/>
      <c r="GD112" s="121"/>
      <c r="GE112" s="121"/>
      <c r="GF112" s="121"/>
      <c r="GG112" s="121"/>
      <c r="GH112" s="121"/>
      <c r="GI112" s="121"/>
      <c r="GJ112" s="121"/>
      <c r="GK112" s="121"/>
      <c r="GL112" s="121"/>
      <c r="GM112" s="121"/>
      <c r="GN112" s="121"/>
      <c r="GO112" s="121"/>
      <c r="GP112" s="121"/>
      <c r="GQ112" s="121"/>
      <c r="GR112" s="121"/>
      <c r="GS112" s="121"/>
      <c r="GT112" s="121"/>
      <c r="GU112" s="121"/>
      <c r="GV112" s="121"/>
      <c r="GW112" s="121"/>
      <c r="GX112" s="121"/>
      <c r="GY112" s="121"/>
      <c r="GZ112" s="121"/>
      <c r="HA112" s="121"/>
      <c r="HB112" s="121"/>
      <c r="HC112" s="121"/>
      <c r="HD112" s="121"/>
      <c r="HE112" s="121"/>
      <c r="HF112" s="121"/>
      <c r="HG112" s="121"/>
      <c r="HH112" s="121"/>
      <c r="HI112" s="121"/>
      <c r="HJ112" s="121"/>
      <c r="HK112" s="121"/>
      <c r="HL112" s="121"/>
      <c r="HM112" s="121"/>
      <c r="HN112" s="121"/>
      <c r="HO112" s="121"/>
      <c r="HP112" s="121"/>
      <c r="HQ112" s="121"/>
      <c r="HR112" s="121"/>
      <c r="HS112" s="121"/>
      <c r="HT112" s="121"/>
      <c r="HU112" s="121"/>
      <c r="HV112" s="121"/>
      <c r="HW112" s="121"/>
      <c r="HX112" s="121"/>
      <c r="HY112" s="121"/>
      <c r="HZ112" s="121"/>
      <c r="IA112" s="121"/>
      <c r="IB112" s="120"/>
    </row>
    <row r="113" spans="3:236" ht="3.75" customHeight="1">
      <c r="C113" s="140"/>
      <c r="D113" s="141"/>
      <c r="E113" s="148"/>
      <c r="F113" s="149"/>
      <c r="G113" s="149"/>
      <c r="H113" s="149"/>
      <c r="I113" s="149"/>
      <c r="J113" s="149"/>
      <c r="K113" s="149"/>
      <c r="L113" s="149"/>
      <c r="M113" s="149"/>
      <c r="N113" s="149"/>
      <c r="O113" s="121"/>
      <c r="P113" s="121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  <c r="AY113" s="141"/>
      <c r="AZ113" s="142"/>
      <c r="BC113" s="116"/>
      <c r="BD113" s="121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D113" s="121"/>
      <c r="CE113" s="121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21"/>
      <c r="CT113" s="121"/>
      <c r="CU113" s="121"/>
      <c r="CV113" s="121"/>
      <c r="CW113" s="121"/>
      <c r="CX113" s="121"/>
      <c r="CY113" s="121"/>
      <c r="CZ113" s="121"/>
      <c r="DA113" s="121"/>
      <c r="DB113" s="121"/>
      <c r="DC113" s="121"/>
      <c r="DD113" s="121"/>
      <c r="DE113" s="121"/>
      <c r="DF113" s="121"/>
      <c r="DG113" s="121"/>
      <c r="DH113" s="121"/>
      <c r="DI113" s="121"/>
      <c r="DJ113" s="121"/>
      <c r="DK113" s="121"/>
      <c r="DL113" s="121"/>
      <c r="DM113" s="121"/>
      <c r="DN113" s="121"/>
      <c r="DO113" s="121"/>
      <c r="DP113" s="121"/>
      <c r="DQ113" s="121"/>
      <c r="DR113" s="121"/>
      <c r="DS113" s="121"/>
      <c r="DT113" s="121"/>
      <c r="DU113" s="121"/>
      <c r="DV113" s="121"/>
      <c r="DW113" s="121"/>
      <c r="DX113" s="121"/>
      <c r="DY113" s="121"/>
      <c r="DZ113" s="121"/>
      <c r="EA113" s="121"/>
      <c r="EB113" s="121"/>
      <c r="EC113" s="121"/>
      <c r="ED113" s="121"/>
      <c r="EE113" s="121"/>
      <c r="EF113" s="121"/>
      <c r="EG113" s="121"/>
      <c r="EH113" s="121"/>
      <c r="EI113" s="121"/>
      <c r="EJ113" s="121"/>
      <c r="EK113" s="121"/>
      <c r="EL113" s="121"/>
      <c r="EM113" s="120"/>
      <c r="EP113" s="116"/>
      <c r="EQ113" s="121"/>
      <c r="ER113" s="121"/>
      <c r="ES113" s="121"/>
      <c r="ET113" s="121"/>
      <c r="EU113" s="121"/>
      <c r="EV113" s="121"/>
      <c r="EW113" s="121"/>
      <c r="EX113" s="121"/>
      <c r="EY113" s="121"/>
      <c r="EZ113" s="121"/>
      <c r="FA113" s="121"/>
      <c r="FB113" s="121"/>
      <c r="FC113" s="121"/>
      <c r="FD113" s="121"/>
      <c r="FE113" s="121"/>
      <c r="FF113" s="121"/>
      <c r="FG113" s="121"/>
      <c r="FH113" s="121"/>
      <c r="FI113" s="121"/>
      <c r="FJ113" s="121"/>
      <c r="FK113" s="121"/>
      <c r="FL113" s="121"/>
      <c r="FM113" s="121"/>
      <c r="FN113" s="121"/>
      <c r="FO113" s="121"/>
      <c r="FP113" s="121"/>
      <c r="FQ113" s="121"/>
      <c r="FR113" s="121"/>
      <c r="FS113" s="121"/>
      <c r="FT113" s="121"/>
      <c r="FU113" s="121"/>
      <c r="FV113" s="121"/>
      <c r="FW113" s="121"/>
      <c r="FX113" s="121"/>
      <c r="FY113" s="121"/>
      <c r="FZ113" s="121"/>
      <c r="GA113" s="121"/>
      <c r="GB113" s="121"/>
      <c r="GC113" s="121"/>
      <c r="GD113" s="121"/>
      <c r="GE113" s="121"/>
      <c r="GF113" s="121"/>
      <c r="GG113" s="121"/>
      <c r="GH113" s="121"/>
      <c r="GI113" s="121"/>
      <c r="GJ113" s="121"/>
      <c r="GK113" s="121"/>
      <c r="GL113" s="121"/>
      <c r="GM113" s="121"/>
      <c r="GN113" s="121"/>
      <c r="GO113" s="121"/>
      <c r="GP113" s="121"/>
      <c r="GQ113" s="121"/>
      <c r="GR113" s="121"/>
      <c r="GS113" s="121"/>
      <c r="GT113" s="121"/>
      <c r="GU113" s="121"/>
      <c r="GV113" s="121"/>
      <c r="GW113" s="121"/>
      <c r="GX113" s="121"/>
      <c r="GY113" s="121"/>
      <c r="GZ113" s="121"/>
      <c r="HA113" s="121"/>
      <c r="HB113" s="121"/>
      <c r="HC113" s="121"/>
      <c r="HD113" s="121"/>
      <c r="HE113" s="121"/>
      <c r="HF113" s="121"/>
      <c r="HG113" s="121"/>
      <c r="HH113" s="121"/>
      <c r="HI113" s="121"/>
      <c r="HJ113" s="121"/>
      <c r="HK113" s="121"/>
      <c r="HL113" s="121"/>
      <c r="HM113" s="121"/>
      <c r="HN113" s="121"/>
      <c r="HO113" s="121"/>
      <c r="HP113" s="121"/>
      <c r="HQ113" s="121"/>
      <c r="HR113" s="121"/>
      <c r="HS113" s="121"/>
      <c r="HT113" s="121"/>
      <c r="HU113" s="121"/>
      <c r="HV113" s="121"/>
      <c r="HW113" s="121"/>
      <c r="HX113" s="121"/>
      <c r="HY113" s="121"/>
      <c r="HZ113" s="121"/>
      <c r="IA113" s="121"/>
      <c r="IB113" s="120"/>
    </row>
    <row r="114" spans="3:236" ht="3.75" customHeight="1">
      <c r="C114" s="140"/>
      <c r="D114" s="141"/>
      <c r="E114" s="148"/>
      <c r="F114" s="149"/>
      <c r="G114" s="149"/>
      <c r="H114" s="149"/>
      <c r="I114" s="149"/>
      <c r="J114" s="149"/>
      <c r="K114" s="149"/>
      <c r="L114" s="149"/>
      <c r="M114" s="149"/>
      <c r="N114" s="149"/>
      <c r="O114" s="121"/>
      <c r="P114" s="121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  <c r="AK114" s="150"/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0"/>
      <c r="AV114" s="150"/>
      <c r="AW114" s="150"/>
      <c r="AX114" s="150"/>
      <c r="AY114" s="141"/>
      <c r="AZ114" s="142"/>
      <c r="BC114" s="116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21"/>
      <c r="CT114" s="121"/>
      <c r="CU114" s="121"/>
      <c r="CV114" s="121"/>
      <c r="CW114" s="121"/>
      <c r="CX114" s="121"/>
      <c r="CY114" s="121"/>
      <c r="CZ114" s="121"/>
      <c r="DA114" s="121"/>
      <c r="DB114" s="121"/>
      <c r="DC114" s="121"/>
      <c r="DD114" s="121"/>
      <c r="DE114" s="121"/>
      <c r="DF114" s="121"/>
      <c r="DG114" s="121"/>
      <c r="DH114" s="121"/>
      <c r="DI114" s="121"/>
      <c r="DJ114" s="121"/>
      <c r="DK114" s="121"/>
      <c r="DL114" s="121"/>
      <c r="DM114" s="121"/>
      <c r="DN114" s="121"/>
      <c r="DO114" s="121"/>
      <c r="DP114" s="121"/>
      <c r="DQ114" s="121"/>
      <c r="DR114" s="121"/>
      <c r="DS114" s="121"/>
      <c r="DT114" s="121"/>
      <c r="DU114" s="121"/>
      <c r="DV114" s="121"/>
      <c r="DW114" s="121"/>
      <c r="DX114" s="121"/>
      <c r="DY114" s="121"/>
      <c r="DZ114" s="121"/>
      <c r="EA114" s="121"/>
      <c r="EB114" s="121"/>
      <c r="EC114" s="121"/>
      <c r="ED114" s="121"/>
      <c r="EE114" s="121"/>
      <c r="EF114" s="121"/>
      <c r="EG114" s="121"/>
      <c r="EH114" s="121"/>
      <c r="EI114" s="121"/>
      <c r="EJ114" s="121"/>
      <c r="EK114" s="121"/>
      <c r="EL114" s="121"/>
      <c r="EM114" s="120"/>
      <c r="EP114" s="116"/>
      <c r="EQ114" s="121"/>
      <c r="ER114" s="121"/>
      <c r="ES114" s="121"/>
      <c r="ET114" s="121"/>
      <c r="EU114" s="121"/>
      <c r="EV114" s="121"/>
      <c r="EW114" s="121"/>
      <c r="EX114" s="121"/>
      <c r="EY114" s="121"/>
      <c r="EZ114" s="121"/>
      <c r="FA114" s="121"/>
      <c r="FB114" s="121"/>
      <c r="FC114" s="121"/>
      <c r="FD114" s="121"/>
      <c r="FE114" s="121"/>
      <c r="FF114" s="121"/>
      <c r="FG114" s="121"/>
      <c r="FH114" s="121"/>
      <c r="FI114" s="121"/>
      <c r="FJ114" s="121"/>
      <c r="FK114" s="121"/>
      <c r="FL114" s="121"/>
      <c r="FM114" s="121"/>
      <c r="FN114" s="121"/>
      <c r="FO114" s="121"/>
      <c r="FP114" s="121"/>
      <c r="FQ114" s="121"/>
      <c r="FR114" s="121"/>
      <c r="FS114" s="121"/>
      <c r="FT114" s="121"/>
      <c r="FU114" s="121"/>
      <c r="FV114" s="121"/>
      <c r="FW114" s="121"/>
      <c r="FX114" s="121"/>
      <c r="FY114" s="121"/>
      <c r="FZ114" s="121"/>
      <c r="GA114" s="121"/>
      <c r="GB114" s="121"/>
      <c r="GC114" s="121"/>
      <c r="GD114" s="121"/>
      <c r="GE114" s="121"/>
      <c r="GF114" s="121"/>
      <c r="GG114" s="121"/>
      <c r="GH114" s="121"/>
      <c r="GI114" s="121"/>
      <c r="GJ114" s="121"/>
      <c r="GK114" s="121"/>
      <c r="GL114" s="121"/>
      <c r="GM114" s="121"/>
      <c r="GN114" s="121"/>
      <c r="GO114" s="121"/>
      <c r="GP114" s="121"/>
      <c r="GQ114" s="121"/>
      <c r="GR114" s="121"/>
      <c r="GS114" s="121"/>
      <c r="GT114" s="121"/>
      <c r="GU114" s="121"/>
      <c r="GV114" s="121"/>
      <c r="GW114" s="121"/>
      <c r="GX114" s="121"/>
      <c r="GY114" s="121"/>
      <c r="GZ114" s="121"/>
      <c r="HA114" s="121"/>
      <c r="HB114" s="121"/>
      <c r="HC114" s="121"/>
      <c r="HD114" s="121"/>
      <c r="HE114" s="121"/>
      <c r="HF114" s="121"/>
      <c r="HG114" s="121"/>
      <c r="HH114" s="121"/>
      <c r="HI114" s="121"/>
      <c r="HJ114" s="121"/>
      <c r="HK114" s="121"/>
      <c r="HL114" s="121"/>
      <c r="HM114" s="121"/>
      <c r="HN114" s="121"/>
      <c r="HO114" s="121"/>
      <c r="HP114" s="121"/>
      <c r="HQ114" s="121"/>
      <c r="HR114" s="121"/>
      <c r="HS114" s="121"/>
      <c r="HT114" s="121"/>
      <c r="HU114" s="121"/>
      <c r="HV114" s="121"/>
      <c r="HW114" s="121"/>
      <c r="HX114" s="121"/>
      <c r="HY114" s="121"/>
      <c r="HZ114" s="121"/>
      <c r="IA114" s="121"/>
      <c r="IB114" s="120"/>
    </row>
    <row r="115" spans="3:236" ht="3.75" customHeight="1">
      <c r="C115" s="140"/>
      <c r="D115" s="141"/>
      <c r="E115" s="154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/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5"/>
      <c r="AW115" s="155"/>
      <c r="AX115" s="157"/>
      <c r="AY115" s="141"/>
      <c r="AZ115" s="142"/>
      <c r="BC115" s="116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1"/>
      <c r="CZ115" s="121"/>
      <c r="DA115" s="121"/>
      <c r="DB115" s="121"/>
      <c r="DC115" s="121"/>
      <c r="DD115" s="121"/>
      <c r="DE115" s="121"/>
      <c r="DF115" s="121"/>
      <c r="DG115" s="121"/>
      <c r="DH115" s="121"/>
      <c r="DI115" s="121"/>
      <c r="DJ115" s="121"/>
      <c r="DK115" s="121"/>
      <c r="DL115" s="121"/>
      <c r="DM115" s="121"/>
      <c r="DN115" s="121"/>
      <c r="DO115" s="121"/>
      <c r="DP115" s="121"/>
      <c r="DQ115" s="121"/>
      <c r="DR115" s="121"/>
      <c r="DS115" s="121"/>
      <c r="DT115" s="121"/>
      <c r="DU115" s="121"/>
      <c r="DV115" s="121"/>
      <c r="DW115" s="121"/>
      <c r="DX115" s="121"/>
      <c r="DY115" s="121"/>
      <c r="DZ115" s="121"/>
      <c r="EA115" s="121"/>
      <c r="EB115" s="121"/>
      <c r="EC115" s="121"/>
      <c r="ED115" s="121"/>
      <c r="EE115" s="121"/>
      <c r="EF115" s="121"/>
      <c r="EG115" s="121"/>
      <c r="EH115" s="121"/>
      <c r="EI115" s="121"/>
      <c r="EJ115" s="121"/>
      <c r="EK115" s="121"/>
      <c r="EL115" s="121"/>
      <c r="EM115" s="120"/>
      <c r="EP115" s="116"/>
      <c r="EQ115" s="121"/>
      <c r="ER115" s="121"/>
      <c r="ES115" s="121"/>
      <c r="ET115" s="121"/>
      <c r="EU115" s="121"/>
      <c r="EV115" s="121"/>
      <c r="EW115" s="121"/>
      <c r="EX115" s="121"/>
      <c r="EY115" s="121"/>
      <c r="EZ115" s="121"/>
      <c r="FA115" s="121"/>
      <c r="FB115" s="121"/>
      <c r="FC115" s="121"/>
      <c r="FD115" s="121"/>
      <c r="FE115" s="121"/>
      <c r="FF115" s="121"/>
      <c r="FG115" s="121"/>
      <c r="FH115" s="121"/>
      <c r="FI115" s="121"/>
      <c r="FJ115" s="121"/>
      <c r="FK115" s="121"/>
      <c r="FL115" s="121"/>
      <c r="FM115" s="121"/>
      <c r="FN115" s="121"/>
      <c r="FO115" s="121"/>
      <c r="FP115" s="121"/>
      <c r="FQ115" s="121"/>
      <c r="FR115" s="121"/>
      <c r="FS115" s="121"/>
      <c r="FT115" s="121"/>
      <c r="FU115" s="121"/>
      <c r="FV115" s="121"/>
      <c r="FW115" s="121"/>
      <c r="FX115" s="121"/>
      <c r="FY115" s="121"/>
      <c r="FZ115" s="121"/>
      <c r="GA115" s="121"/>
      <c r="GB115" s="121"/>
      <c r="GC115" s="121"/>
      <c r="GD115" s="121"/>
      <c r="GE115" s="121"/>
      <c r="GF115" s="121"/>
      <c r="GG115" s="121"/>
      <c r="GH115" s="121"/>
      <c r="GI115" s="121"/>
      <c r="GJ115" s="121"/>
      <c r="GK115" s="121"/>
      <c r="GL115" s="121"/>
      <c r="GM115" s="121"/>
      <c r="GN115" s="121"/>
      <c r="GO115" s="121"/>
      <c r="GP115" s="121"/>
      <c r="GQ115" s="121"/>
      <c r="GR115" s="121"/>
      <c r="GS115" s="121"/>
      <c r="GT115" s="121"/>
      <c r="GU115" s="121"/>
      <c r="GV115" s="121"/>
      <c r="GW115" s="121"/>
      <c r="GX115" s="121"/>
      <c r="GY115" s="121"/>
      <c r="GZ115" s="121"/>
      <c r="HA115" s="121"/>
      <c r="HB115" s="121"/>
      <c r="HC115" s="121"/>
      <c r="HD115" s="121"/>
      <c r="HE115" s="121"/>
      <c r="HF115" s="121"/>
      <c r="HG115" s="121"/>
      <c r="HH115" s="121"/>
      <c r="HI115" s="121"/>
      <c r="HJ115" s="121"/>
      <c r="HK115" s="121"/>
      <c r="HL115" s="121"/>
      <c r="HM115" s="121"/>
      <c r="HN115" s="121"/>
      <c r="HO115" s="121"/>
      <c r="HP115" s="121"/>
      <c r="HQ115" s="121"/>
      <c r="HR115" s="121"/>
      <c r="HS115" s="121"/>
      <c r="HT115" s="121"/>
      <c r="HU115" s="121"/>
      <c r="HV115" s="121"/>
      <c r="HW115" s="121"/>
      <c r="HX115" s="121"/>
      <c r="HY115" s="121"/>
      <c r="HZ115" s="121"/>
      <c r="IA115" s="121"/>
      <c r="IB115" s="120"/>
    </row>
    <row r="116" spans="3:236" ht="3.75" customHeight="1">
      <c r="C116" s="140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2"/>
      <c r="BC116" s="116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21"/>
      <c r="DA116" s="121"/>
      <c r="DB116" s="121"/>
      <c r="DC116" s="121"/>
      <c r="DD116" s="121"/>
      <c r="DE116" s="121"/>
      <c r="DF116" s="121"/>
      <c r="DG116" s="121"/>
      <c r="DH116" s="121"/>
      <c r="DI116" s="121"/>
      <c r="DJ116" s="121"/>
      <c r="DK116" s="121"/>
      <c r="DL116" s="121"/>
      <c r="DM116" s="121"/>
      <c r="DN116" s="121"/>
      <c r="DO116" s="121"/>
      <c r="DP116" s="121"/>
      <c r="DQ116" s="121"/>
      <c r="DR116" s="121"/>
      <c r="DS116" s="121"/>
      <c r="DT116" s="121"/>
      <c r="DU116" s="121"/>
      <c r="DV116" s="121"/>
      <c r="DW116" s="121"/>
      <c r="DX116" s="121"/>
      <c r="DY116" s="121"/>
      <c r="DZ116" s="121"/>
      <c r="EA116" s="121"/>
      <c r="EB116" s="121"/>
      <c r="EC116" s="121"/>
      <c r="ED116" s="121"/>
      <c r="EE116" s="121"/>
      <c r="EF116" s="121"/>
      <c r="EG116" s="121"/>
      <c r="EH116" s="121"/>
      <c r="EI116" s="121"/>
      <c r="EJ116" s="121"/>
      <c r="EK116" s="121"/>
      <c r="EL116" s="121"/>
      <c r="EM116" s="120"/>
      <c r="EP116" s="116"/>
      <c r="EQ116" s="121"/>
      <c r="ER116" s="121"/>
      <c r="ES116" s="121"/>
      <c r="ET116" s="121"/>
      <c r="EU116" s="121"/>
      <c r="EV116" s="121"/>
      <c r="EW116" s="121"/>
      <c r="EX116" s="121"/>
      <c r="EY116" s="121"/>
      <c r="EZ116" s="121"/>
      <c r="FA116" s="121"/>
      <c r="FB116" s="121"/>
      <c r="FC116" s="121"/>
      <c r="FD116" s="121"/>
      <c r="FE116" s="121"/>
      <c r="FF116" s="121"/>
      <c r="FG116" s="121"/>
      <c r="FH116" s="121"/>
      <c r="FI116" s="121"/>
      <c r="FJ116" s="121"/>
      <c r="FK116" s="121"/>
      <c r="FL116" s="121"/>
      <c r="FM116" s="121"/>
      <c r="FN116" s="121"/>
      <c r="FO116" s="121"/>
      <c r="FP116" s="121"/>
      <c r="FQ116" s="121"/>
      <c r="FR116" s="121"/>
      <c r="FS116" s="121"/>
      <c r="FT116" s="121"/>
      <c r="FU116" s="121"/>
      <c r="FV116" s="121"/>
      <c r="FW116" s="121"/>
      <c r="FX116" s="121"/>
      <c r="FY116" s="121"/>
      <c r="FZ116" s="121"/>
      <c r="GA116" s="121"/>
      <c r="GB116" s="121"/>
      <c r="GC116" s="121"/>
      <c r="GD116" s="121"/>
      <c r="GE116" s="121"/>
      <c r="GF116" s="121"/>
      <c r="GG116" s="121"/>
      <c r="GH116" s="121"/>
      <c r="GI116" s="121"/>
      <c r="GJ116" s="121"/>
      <c r="GK116" s="121"/>
      <c r="GL116" s="121"/>
      <c r="GM116" s="121"/>
      <c r="GN116" s="121"/>
      <c r="GO116" s="121"/>
      <c r="GP116" s="121"/>
      <c r="GQ116" s="121"/>
      <c r="GR116" s="121"/>
      <c r="GS116" s="121"/>
      <c r="GT116" s="121"/>
      <c r="GU116" s="121"/>
      <c r="GV116" s="121"/>
      <c r="GW116" s="121"/>
      <c r="GX116" s="121"/>
      <c r="GY116" s="121"/>
      <c r="GZ116" s="121"/>
      <c r="HA116" s="121"/>
      <c r="HB116" s="121"/>
      <c r="HC116" s="121"/>
      <c r="HD116" s="121"/>
      <c r="HE116" s="121"/>
      <c r="HF116" s="121"/>
      <c r="HG116" s="121"/>
      <c r="HH116" s="121"/>
      <c r="HI116" s="121"/>
      <c r="HJ116" s="121"/>
      <c r="HK116" s="121"/>
      <c r="HL116" s="121"/>
      <c r="HM116" s="121"/>
      <c r="HN116" s="121"/>
      <c r="HO116" s="121"/>
      <c r="HP116" s="121"/>
      <c r="HQ116" s="121"/>
      <c r="HR116" s="121"/>
      <c r="HS116" s="121"/>
      <c r="HT116" s="121"/>
      <c r="HU116" s="121"/>
      <c r="HV116" s="121"/>
      <c r="HW116" s="121"/>
      <c r="HX116" s="121"/>
      <c r="HY116" s="121"/>
      <c r="HZ116" s="121"/>
      <c r="IA116" s="121"/>
      <c r="IB116" s="120"/>
    </row>
    <row r="117" spans="3:236" ht="3.75" customHeight="1">
      <c r="C117" s="140"/>
      <c r="D117" s="141"/>
      <c r="E117" s="145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56"/>
      <c r="AY117" s="141"/>
      <c r="AZ117" s="142"/>
      <c r="BC117" s="116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0"/>
      <c r="EP117" s="116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  <c r="GQ117" s="121"/>
      <c r="GR117" s="121"/>
      <c r="GS117" s="121"/>
      <c r="GT117" s="121"/>
      <c r="GU117" s="121"/>
      <c r="GV117" s="121"/>
      <c r="GW117" s="121"/>
      <c r="GX117" s="121"/>
      <c r="GY117" s="121"/>
      <c r="GZ117" s="121"/>
      <c r="HA117" s="121"/>
      <c r="HB117" s="121"/>
      <c r="HC117" s="121"/>
      <c r="HD117" s="121"/>
      <c r="HE117" s="121"/>
      <c r="HF117" s="121"/>
      <c r="HG117" s="121"/>
      <c r="HH117" s="121"/>
      <c r="HI117" s="121"/>
      <c r="HJ117" s="121"/>
      <c r="HK117" s="121"/>
      <c r="HL117" s="121"/>
      <c r="HM117" s="121"/>
      <c r="HN117" s="121"/>
      <c r="HO117" s="121"/>
      <c r="HP117" s="121"/>
      <c r="HQ117" s="121"/>
      <c r="HR117" s="121"/>
      <c r="HS117" s="121"/>
      <c r="HT117" s="121"/>
      <c r="HU117" s="121"/>
      <c r="HV117" s="121"/>
      <c r="HW117" s="121"/>
      <c r="HX117" s="121"/>
      <c r="HY117" s="121"/>
      <c r="HZ117" s="121"/>
      <c r="IA117" s="121"/>
      <c r="IB117" s="120"/>
    </row>
    <row r="118" spans="3:236" ht="3.75" customHeight="1">
      <c r="C118" s="140"/>
      <c r="D118" s="141"/>
      <c r="E118" s="148"/>
      <c r="F118" s="149" t="s">
        <v>1064</v>
      </c>
      <c r="G118" s="149"/>
      <c r="H118" s="149"/>
      <c r="I118" s="149"/>
      <c r="J118" s="149"/>
      <c r="K118" s="149"/>
      <c r="L118" s="149"/>
      <c r="M118" s="149"/>
      <c r="N118" s="149"/>
      <c r="O118" s="121"/>
      <c r="P118" s="121"/>
      <c r="Q118" s="158" t="str">
        <f>IFERROR(INDEX('Pivot Table 3'!$A$4:$A$7,MATCH(MAX('Pivot Table 3'!$B$4:$B$7),'Pivot Table 3'!$B$4:$B$7,0)),"-")</f>
        <v>Mumbai_Andheri</v>
      </c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41"/>
      <c r="AZ118" s="142"/>
      <c r="BC118" s="116"/>
      <c r="BD118" s="121"/>
      <c r="BE118" s="121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21"/>
      <c r="BW118" s="121"/>
      <c r="BX118" s="121"/>
      <c r="BY118" s="121"/>
      <c r="BZ118" s="121"/>
      <c r="CA118" s="121"/>
      <c r="CB118" s="121"/>
      <c r="CC118" s="121"/>
      <c r="CD118" s="121"/>
      <c r="CE118" s="121"/>
      <c r="CF118" s="121"/>
      <c r="CG118" s="121"/>
      <c r="CH118" s="121"/>
      <c r="CI118" s="121"/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21"/>
      <c r="CT118" s="121"/>
      <c r="CU118" s="121"/>
      <c r="CV118" s="121"/>
      <c r="CW118" s="121"/>
      <c r="CX118" s="121"/>
      <c r="CY118" s="121"/>
      <c r="CZ118" s="121"/>
      <c r="DA118" s="121"/>
      <c r="DB118" s="121"/>
      <c r="DC118" s="121"/>
      <c r="DD118" s="121"/>
      <c r="DE118" s="121"/>
      <c r="DF118" s="121"/>
      <c r="DG118" s="121"/>
      <c r="DH118" s="121"/>
      <c r="DI118" s="121"/>
      <c r="DJ118" s="121"/>
      <c r="DK118" s="121"/>
      <c r="DL118" s="121"/>
      <c r="DM118" s="121"/>
      <c r="DN118" s="121"/>
      <c r="DO118" s="121"/>
      <c r="DP118" s="121"/>
      <c r="DQ118" s="121"/>
      <c r="DR118" s="121"/>
      <c r="DS118" s="121"/>
      <c r="DT118" s="121"/>
      <c r="DU118" s="121"/>
      <c r="DV118" s="121"/>
      <c r="DW118" s="121"/>
      <c r="DX118" s="121"/>
      <c r="DY118" s="121"/>
      <c r="DZ118" s="121"/>
      <c r="EA118" s="121"/>
      <c r="EB118" s="121"/>
      <c r="EC118" s="121"/>
      <c r="ED118" s="121"/>
      <c r="EE118" s="121"/>
      <c r="EF118" s="121"/>
      <c r="EG118" s="121"/>
      <c r="EH118" s="121"/>
      <c r="EI118" s="121"/>
      <c r="EJ118" s="121"/>
      <c r="EK118" s="121"/>
      <c r="EL118" s="121"/>
      <c r="EM118" s="120"/>
      <c r="EP118" s="116"/>
      <c r="EQ118" s="121"/>
      <c r="ER118" s="121"/>
      <c r="ES118" s="121"/>
      <c r="ET118" s="121"/>
      <c r="EU118" s="121"/>
      <c r="EV118" s="121"/>
      <c r="EW118" s="121"/>
      <c r="EX118" s="121"/>
      <c r="EY118" s="121"/>
      <c r="EZ118" s="121"/>
      <c r="FA118" s="121"/>
      <c r="FB118" s="121"/>
      <c r="FC118" s="121"/>
      <c r="FD118" s="121"/>
      <c r="FE118" s="121"/>
      <c r="FF118" s="121"/>
      <c r="FG118" s="121"/>
      <c r="FH118" s="121"/>
      <c r="FI118" s="121"/>
      <c r="FJ118" s="121"/>
      <c r="FK118" s="121"/>
      <c r="FL118" s="121"/>
      <c r="FM118" s="121"/>
      <c r="FN118" s="121"/>
      <c r="FO118" s="121"/>
      <c r="FP118" s="121"/>
      <c r="FQ118" s="121"/>
      <c r="FR118" s="121"/>
      <c r="FS118" s="121"/>
      <c r="FT118" s="121"/>
      <c r="FU118" s="121"/>
      <c r="FV118" s="121"/>
      <c r="FW118" s="121"/>
      <c r="FX118" s="121"/>
      <c r="FY118" s="121"/>
      <c r="FZ118" s="121"/>
      <c r="GA118" s="121"/>
      <c r="GB118" s="121"/>
      <c r="GC118" s="121"/>
      <c r="GD118" s="121"/>
      <c r="GE118" s="121"/>
      <c r="GF118" s="121"/>
      <c r="GG118" s="121"/>
      <c r="GH118" s="121"/>
      <c r="GI118" s="121"/>
      <c r="GJ118" s="121"/>
      <c r="GK118" s="121"/>
      <c r="GL118" s="121"/>
      <c r="GM118" s="121"/>
      <c r="GN118" s="121"/>
      <c r="GO118" s="121"/>
      <c r="GP118" s="121"/>
      <c r="GQ118" s="121"/>
      <c r="GR118" s="121"/>
      <c r="GS118" s="121"/>
      <c r="GT118" s="121"/>
      <c r="GU118" s="121"/>
      <c r="GV118" s="121"/>
      <c r="GW118" s="121"/>
      <c r="GX118" s="121"/>
      <c r="GY118" s="121"/>
      <c r="GZ118" s="121"/>
      <c r="HA118" s="121"/>
      <c r="HB118" s="121"/>
      <c r="HC118" s="121"/>
      <c r="HD118" s="121"/>
      <c r="HE118" s="121"/>
      <c r="HF118" s="121"/>
      <c r="HG118" s="121"/>
      <c r="HH118" s="121"/>
      <c r="HI118" s="121"/>
      <c r="HJ118" s="121"/>
      <c r="HK118" s="121"/>
      <c r="HL118" s="121"/>
      <c r="HM118" s="121"/>
      <c r="HN118" s="121"/>
      <c r="HO118" s="121"/>
      <c r="HP118" s="121"/>
      <c r="HQ118" s="121"/>
      <c r="HR118" s="121"/>
      <c r="HS118" s="121"/>
      <c r="HT118" s="121"/>
      <c r="HU118" s="121"/>
      <c r="HV118" s="121"/>
      <c r="HW118" s="121"/>
      <c r="HX118" s="121"/>
      <c r="HY118" s="121"/>
      <c r="HZ118" s="121"/>
      <c r="IA118" s="121"/>
      <c r="IB118" s="120"/>
    </row>
    <row r="119" spans="3:236" ht="3.75" customHeight="1">
      <c r="C119" s="140"/>
      <c r="D119" s="141"/>
      <c r="E119" s="148"/>
      <c r="F119" s="149"/>
      <c r="G119" s="149"/>
      <c r="H119" s="149"/>
      <c r="I119" s="149"/>
      <c r="J119" s="149"/>
      <c r="K119" s="149"/>
      <c r="L119" s="149"/>
      <c r="M119" s="149"/>
      <c r="N119" s="149"/>
      <c r="O119" s="121"/>
      <c r="P119" s="121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41"/>
      <c r="AZ119" s="142"/>
      <c r="BC119" s="116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1"/>
      <c r="CT119" s="121"/>
      <c r="CU119" s="121"/>
      <c r="CV119" s="121"/>
      <c r="CW119" s="121"/>
      <c r="CX119" s="121"/>
      <c r="CY119" s="121"/>
      <c r="CZ119" s="121"/>
      <c r="DA119" s="121"/>
      <c r="DB119" s="121"/>
      <c r="DC119" s="121"/>
      <c r="DD119" s="121"/>
      <c r="DE119" s="121"/>
      <c r="DF119" s="121"/>
      <c r="DG119" s="121"/>
      <c r="DH119" s="121"/>
      <c r="DI119" s="121"/>
      <c r="DJ119" s="121"/>
      <c r="DK119" s="121"/>
      <c r="DL119" s="121"/>
      <c r="DM119" s="121"/>
      <c r="DN119" s="121"/>
      <c r="DO119" s="121"/>
      <c r="DP119" s="121"/>
      <c r="DQ119" s="121"/>
      <c r="DR119" s="121"/>
      <c r="DS119" s="121"/>
      <c r="DT119" s="121"/>
      <c r="DU119" s="121"/>
      <c r="DV119" s="121"/>
      <c r="DW119" s="121"/>
      <c r="DX119" s="121"/>
      <c r="DY119" s="121"/>
      <c r="DZ119" s="121"/>
      <c r="EA119" s="121"/>
      <c r="EB119" s="121"/>
      <c r="EC119" s="121"/>
      <c r="ED119" s="121"/>
      <c r="EE119" s="121"/>
      <c r="EF119" s="121"/>
      <c r="EG119" s="121"/>
      <c r="EH119" s="121"/>
      <c r="EI119" s="121"/>
      <c r="EJ119" s="121"/>
      <c r="EK119" s="121"/>
      <c r="EL119" s="121"/>
      <c r="EM119" s="120"/>
      <c r="EP119" s="116"/>
      <c r="EQ119" s="121"/>
      <c r="ER119" s="121"/>
      <c r="ES119" s="121"/>
      <c r="ET119" s="121"/>
      <c r="EU119" s="121"/>
      <c r="EV119" s="121"/>
      <c r="EW119" s="121"/>
      <c r="EX119" s="121"/>
      <c r="EY119" s="121"/>
      <c r="EZ119" s="121"/>
      <c r="FA119" s="121"/>
      <c r="FB119" s="121"/>
      <c r="FC119" s="121"/>
      <c r="FD119" s="121"/>
      <c r="FE119" s="121"/>
      <c r="FF119" s="121"/>
      <c r="FG119" s="121"/>
      <c r="FH119" s="121"/>
      <c r="FI119" s="121"/>
      <c r="FJ119" s="121"/>
      <c r="FK119" s="121"/>
      <c r="FL119" s="121"/>
      <c r="FM119" s="121"/>
      <c r="FN119" s="121"/>
      <c r="FO119" s="121"/>
      <c r="FP119" s="121"/>
      <c r="FQ119" s="121"/>
      <c r="FR119" s="121"/>
      <c r="FS119" s="121"/>
      <c r="FT119" s="121"/>
      <c r="FU119" s="121"/>
      <c r="FV119" s="121"/>
      <c r="FW119" s="121"/>
      <c r="FX119" s="121"/>
      <c r="FY119" s="121"/>
      <c r="FZ119" s="121"/>
      <c r="GA119" s="121"/>
      <c r="GB119" s="121"/>
      <c r="GC119" s="121"/>
      <c r="GD119" s="121"/>
      <c r="GE119" s="121"/>
      <c r="GF119" s="121"/>
      <c r="GG119" s="121"/>
      <c r="GH119" s="121"/>
      <c r="GI119" s="121"/>
      <c r="GJ119" s="121"/>
      <c r="GK119" s="121"/>
      <c r="GL119" s="121"/>
      <c r="GM119" s="121"/>
      <c r="GN119" s="121"/>
      <c r="GO119" s="121"/>
      <c r="GP119" s="121"/>
      <c r="GQ119" s="121"/>
      <c r="GR119" s="121"/>
      <c r="GS119" s="121"/>
      <c r="GT119" s="121"/>
      <c r="GU119" s="121"/>
      <c r="GV119" s="121"/>
      <c r="GW119" s="121"/>
      <c r="GX119" s="121"/>
      <c r="GY119" s="121"/>
      <c r="GZ119" s="121"/>
      <c r="HA119" s="121"/>
      <c r="HB119" s="121"/>
      <c r="HC119" s="121"/>
      <c r="HD119" s="121"/>
      <c r="HE119" s="121"/>
      <c r="HF119" s="121"/>
      <c r="HG119" s="121"/>
      <c r="HH119" s="121"/>
      <c r="HI119" s="121"/>
      <c r="HJ119" s="121"/>
      <c r="HK119" s="121"/>
      <c r="HL119" s="121"/>
      <c r="HM119" s="121"/>
      <c r="HN119" s="121"/>
      <c r="HO119" s="121"/>
      <c r="HP119" s="121"/>
      <c r="HQ119" s="121"/>
      <c r="HR119" s="121"/>
      <c r="HS119" s="121"/>
      <c r="HT119" s="121"/>
      <c r="HU119" s="121"/>
      <c r="HV119" s="121"/>
      <c r="HW119" s="121"/>
      <c r="HX119" s="121"/>
      <c r="HY119" s="121"/>
      <c r="HZ119" s="121"/>
      <c r="IA119" s="121"/>
      <c r="IB119" s="120"/>
    </row>
    <row r="120" spans="3:236" ht="3.75" customHeight="1">
      <c r="C120" s="140"/>
      <c r="D120" s="141"/>
      <c r="E120" s="148"/>
      <c r="F120" s="149"/>
      <c r="G120" s="149"/>
      <c r="H120" s="149"/>
      <c r="I120" s="149"/>
      <c r="J120" s="149"/>
      <c r="K120" s="149"/>
      <c r="L120" s="149"/>
      <c r="M120" s="149"/>
      <c r="N120" s="149"/>
      <c r="O120" s="121"/>
      <c r="P120" s="121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41"/>
      <c r="AZ120" s="142"/>
      <c r="BC120" s="116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/>
      <c r="DF120" s="121"/>
      <c r="DG120" s="121"/>
      <c r="DH120" s="121"/>
      <c r="DI120" s="121"/>
      <c r="DJ120" s="121"/>
      <c r="DK120" s="121"/>
      <c r="DL120" s="121"/>
      <c r="DM120" s="121"/>
      <c r="DN120" s="121"/>
      <c r="DO120" s="121"/>
      <c r="DP120" s="121"/>
      <c r="DQ120" s="121"/>
      <c r="DR120" s="121"/>
      <c r="DS120" s="121"/>
      <c r="DT120" s="121"/>
      <c r="DU120" s="121"/>
      <c r="DV120" s="121"/>
      <c r="DW120" s="121"/>
      <c r="DX120" s="121"/>
      <c r="DY120" s="121"/>
      <c r="DZ120" s="121"/>
      <c r="EA120" s="121"/>
      <c r="EB120" s="121"/>
      <c r="EC120" s="121"/>
      <c r="ED120" s="121"/>
      <c r="EE120" s="121"/>
      <c r="EF120" s="121"/>
      <c r="EG120" s="121"/>
      <c r="EH120" s="121"/>
      <c r="EI120" s="121"/>
      <c r="EJ120" s="121"/>
      <c r="EK120" s="121"/>
      <c r="EL120" s="121"/>
      <c r="EM120" s="120"/>
      <c r="EP120" s="116"/>
      <c r="EQ120" s="121"/>
      <c r="ER120" s="121"/>
      <c r="ES120" s="121"/>
      <c r="ET120" s="121"/>
      <c r="EU120" s="121"/>
      <c r="EV120" s="121"/>
      <c r="EW120" s="121"/>
      <c r="EX120" s="121"/>
      <c r="EY120" s="121"/>
      <c r="EZ120" s="121"/>
      <c r="FA120" s="121"/>
      <c r="FB120" s="121"/>
      <c r="FC120" s="121"/>
      <c r="FD120" s="121"/>
      <c r="FE120" s="121"/>
      <c r="FF120" s="121"/>
      <c r="FG120" s="121"/>
      <c r="FH120" s="121"/>
      <c r="FI120" s="121"/>
      <c r="FJ120" s="121"/>
      <c r="FK120" s="121"/>
      <c r="FL120" s="121"/>
      <c r="FM120" s="121"/>
      <c r="FN120" s="121"/>
      <c r="FO120" s="121"/>
      <c r="FP120" s="121"/>
      <c r="FQ120" s="121"/>
      <c r="FR120" s="121"/>
      <c r="FS120" s="121"/>
      <c r="FT120" s="121"/>
      <c r="FU120" s="121"/>
      <c r="FV120" s="121"/>
      <c r="FW120" s="121"/>
      <c r="FX120" s="121"/>
      <c r="FY120" s="121"/>
      <c r="FZ120" s="121"/>
      <c r="GA120" s="121"/>
      <c r="GB120" s="121"/>
      <c r="GC120" s="121"/>
      <c r="GD120" s="121"/>
      <c r="GE120" s="121"/>
      <c r="GF120" s="121"/>
      <c r="GG120" s="121"/>
      <c r="GH120" s="121"/>
      <c r="GI120" s="121"/>
      <c r="GJ120" s="121"/>
      <c r="GK120" s="121"/>
      <c r="GL120" s="121"/>
      <c r="GM120" s="121"/>
      <c r="GN120" s="121"/>
      <c r="GO120" s="121"/>
      <c r="GP120" s="121"/>
      <c r="GQ120" s="121"/>
      <c r="GR120" s="121"/>
      <c r="GS120" s="121"/>
      <c r="GT120" s="121"/>
      <c r="GU120" s="121"/>
      <c r="GV120" s="121"/>
      <c r="GW120" s="121"/>
      <c r="GX120" s="121"/>
      <c r="GY120" s="121"/>
      <c r="GZ120" s="121"/>
      <c r="HA120" s="121"/>
      <c r="HB120" s="121"/>
      <c r="HC120" s="121"/>
      <c r="HD120" s="121"/>
      <c r="HE120" s="121"/>
      <c r="HF120" s="121"/>
      <c r="HG120" s="121"/>
      <c r="HH120" s="121"/>
      <c r="HI120" s="121"/>
      <c r="HJ120" s="121"/>
      <c r="HK120" s="121"/>
      <c r="HL120" s="121"/>
      <c r="HM120" s="121"/>
      <c r="HN120" s="121"/>
      <c r="HO120" s="121"/>
      <c r="HP120" s="121"/>
      <c r="HQ120" s="121"/>
      <c r="HR120" s="121"/>
      <c r="HS120" s="121"/>
      <c r="HT120" s="121"/>
      <c r="HU120" s="121"/>
      <c r="HV120" s="121"/>
      <c r="HW120" s="121"/>
      <c r="HX120" s="121"/>
      <c r="HY120" s="121"/>
      <c r="HZ120" s="121"/>
      <c r="IA120" s="121"/>
      <c r="IB120" s="120"/>
    </row>
    <row r="121" spans="3:236" ht="3.75" customHeight="1">
      <c r="C121" s="140"/>
      <c r="D121" s="141"/>
      <c r="E121" s="148"/>
      <c r="F121" s="149"/>
      <c r="G121" s="149"/>
      <c r="H121" s="149"/>
      <c r="I121" s="149"/>
      <c r="J121" s="149"/>
      <c r="K121" s="149"/>
      <c r="L121" s="149"/>
      <c r="M121" s="149"/>
      <c r="N121" s="149"/>
      <c r="O121" s="121"/>
      <c r="P121" s="121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41"/>
      <c r="AZ121" s="142"/>
      <c r="BC121" s="116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  <c r="DK121" s="121"/>
      <c r="DL121" s="121"/>
      <c r="DM121" s="121"/>
      <c r="DN121" s="121"/>
      <c r="DO121" s="121"/>
      <c r="DP121" s="121"/>
      <c r="DQ121" s="121"/>
      <c r="DR121" s="121"/>
      <c r="DS121" s="121"/>
      <c r="DT121" s="121"/>
      <c r="DU121" s="121"/>
      <c r="DV121" s="121"/>
      <c r="DW121" s="121"/>
      <c r="DX121" s="121"/>
      <c r="DY121" s="121"/>
      <c r="DZ121" s="121"/>
      <c r="EA121" s="121"/>
      <c r="EB121" s="121"/>
      <c r="EC121" s="121"/>
      <c r="ED121" s="121"/>
      <c r="EE121" s="121"/>
      <c r="EF121" s="121"/>
      <c r="EG121" s="121"/>
      <c r="EH121" s="121"/>
      <c r="EI121" s="121"/>
      <c r="EJ121" s="121"/>
      <c r="EK121" s="121"/>
      <c r="EL121" s="121"/>
      <c r="EM121" s="120"/>
      <c r="EP121" s="116"/>
      <c r="EQ121" s="121"/>
      <c r="ER121" s="121"/>
      <c r="ES121" s="121"/>
      <c r="ET121" s="121"/>
      <c r="EU121" s="121"/>
      <c r="EV121" s="121"/>
      <c r="EW121" s="121"/>
      <c r="EX121" s="121"/>
      <c r="EY121" s="121"/>
      <c r="EZ121" s="121"/>
      <c r="FA121" s="121"/>
      <c r="FB121" s="121"/>
      <c r="FC121" s="121"/>
      <c r="FD121" s="121"/>
      <c r="FE121" s="121"/>
      <c r="FF121" s="121"/>
      <c r="FG121" s="121"/>
      <c r="FH121" s="121"/>
      <c r="FI121" s="121"/>
      <c r="FJ121" s="121"/>
      <c r="FK121" s="121"/>
      <c r="FL121" s="121"/>
      <c r="FM121" s="121"/>
      <c r="FN121" s="121"/>
      <c r="FO121" s="121"/>
      <c r="FP121" s="121"/>
      <c r="FQ121" s="121"/>
      <c r="FR121" s="121"/>
      <c r="FS121" s="121"/>
      <c r="FT121" s="121"/>
      <c r="FU121" s="121"/>
      <c r="FV121" s="121"/>
      <c r="FW121" s="121"/>
      <c r="FX121" s="121"/>
      <c r="FY121" s="121"/>
      <c r="FZ121" s="121"/>
      <c r="GA121" s="121"/>
      <c r="GB121" s="121"/>
      <c r="GC121" s="121"/>
      <c r="GD121" s="121"/>
      <c r="GE121" s="121"/>
      <c r="GF121" s="121"/>
      <c r="GG121" s="121"/>
      <c r="GH121" s="121"/>
      <c r="GI121" s="121"/>
      <c r="GJ121" s="121"/>
      <c r="GK121" s="121"/>
      <c r="GL121" s="121"/>
      <c r="GM121" s="121"/>
      <c r="GN121" s="121"/>
      <c r="GO121" s="121"/>
      <c r="GP121" s="121"/>
      <c r="GQ121" s="121"/>
      <c r="GR121" s="121"/>
      <c r="GS121" s="121"/>
      <c r="GT121" s="121"/>
      <c r="GU121" s="121"/>
      <c r="GV121" s="121"/>
      <c r="GW121" s="121"/>
      <c r="GX121" s="121"/>
      <c r="GY121" s="121"/>
      <c r="GZ121" s="121"/>
      <c r="HA121" s="121"/>
      <c r="HB121" s="121"/>
      <c r="HC121" s="121"/>
      <c r="HD121" s="121"/>
      <c r="HE121" s="121"/>
      <c r="HF121" s="121"/>
      <c r="HG121" s="121"/>
      <c r="HH121" s="121"/>
      <c r="HI121" s="121"/>
      <c r="HJ121" s="121"/>
      <c r="HK121" s="121"/>
      <c r="HL121" s="121"/>
      <c r="HM121" s="121"/>
      <c r="HN121" s="121"/>
      <c r="HO121" s="121"/>
      <c r="HP121" s="121"/>
      <c r="HQ121" s="121"/>
      <c r="HR121" s="121"/>
      <c r="HS121" s="121"/>
      <c r="HT121" s="121"/>
      <c r="HU121" s="121"/>
      <c r="HV121" s="121"/>
      <c r="HW121" s="121"/>
      <c r="HX121" s="121"/>
      <c r="HY121" s="121"/>
      <c r="HZ121" s="121"/>
      <c r="IA121" s="121"/>
      <c r="IB121" s="120"/>
    </row>
    <row r="122" spans="3:236" ht="3.75" customHeight="1">
      <c r="C122" s="140"/>
      <c r="D122" s="141"/>
      <c r="E122" s="148"/>
      <c r="F122" s="149"/>
      <c r="G122" s="149"/>
      <c r="H122" s="149"/>
      <c r="I122" s="149"/>
      <c r="J122" s="149"/>
      <c r="K122" s="149"/>
      <c r="L122" s="149"/>
      <c r="M122" s="149"/>
      <c r="N122" s="149"/>
      <c r="O122" s="121"/>
      <c r="P122" s="121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41"/>
      <c r="AZ122" s="142"/>
      <c r="BC122" s="116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21"/>
      <c r="BW122" s="121"/>
      <c r="BX122" s="121"/>
      <c r="BY122" s="121"/>
      <c r="BZ122" s="121"/>
      <c r="CA122" s="121"/>
      <c r="CB122" s="121"/>
      <c r="CC122" s="121"/>
      <c r="CD122" s="121"/>
      <c r="CE122" s="121"/>
      <c r="CF122" s="121"/>
      <c r="CG122" s="121"/>
      <c r="CH122" s="121"/>
      <c r="CI122" s="121"/>
      <c r="CJ122" s="121"/>
      <c r="CK122" s="121"/>
      <c r="CL122" s="121"/>
      <c r="CM122" s="121"/>
      <c r="CN122" s="121"/>
      <c r="CO122" s="121"/>
      <c r="CP122" s="121"/>
      <c r="CQ122" s="121"/>
      <c r="CR122" s="121"/>
      <c r="CS122" s="121"/>
      <c r="CT122" s="121"/>
      <c r="CU122" s="121"/>
      <c r="CV122" s="121"/>
      <c r="CW122" s="121"/>
      <c r="CX122" s="121"/>
      <c r="CY122" s="121"/>
      <c r="CZ122" s="121"/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  <c r="DK122" s="121"/>
      <c r="DL122" s="121"/>
      <c r="DM122" s="121"/>
      <c r="DN122" s="121"/>
      <c r="DO122" s="121"/>
      <c r="DP122" s="121"/>
      <c r="DQ122" s="121"/>
      <c r="DR122" s="121"/>
      <c r="DS122" s="121"/>
      <c r="DT122" s="121"/>
      <c r="DU122" s="121"/>
      <c r="DV122" s="121"/>
      <c r="DW122" s="121"/>
      <c r="DX122" s="121"/>
      <c r="DY122" s="121"/>
      <c r="DZ122" s="121"/>
      <c r="EA122" s="121"/>
      <c r="EB122" s="121"/>
      <c r="EC122" s="121"/>
      <c r="ED122" s="121"/>
      <c r="EE122" s="121"/>
      <c r="EF122" s="121"/>
      <c r="EG122" s="121"/>
      <c r="EH122" s="121"/>
      <c r="EI122" s="121"/>
      <c r="EJ122" s="121"/>
      <c r="EK122" s="121"/>
      <c r="EL122" s="121"/>
      <c r="EM122" s="120"/>
      <c r="EP122" s="116"/>
      <c r="EQ122" s="121"/>
      <c r="ER122" s="121"/>
      <c r="ES122" s="121"/>
      <c r="ET122" s="121"/>
      <c r="EU122" s="121"/>
      <c r="EV122" s="121"/>
      <c r="EW122" s="121"/>
      <c r="EX122" s="121"/>
      <c r="EY122" s="121"/>
      <c r="EZ122" s="121"/>
      <c r="FA122" s="121"/>
      <c r="FB122" s="121"/>
      <c r="FC122" s="121"/>
      <c r="FD122" s="121"/>
      <c r="FE122" s="121"/>
      <c r="FF122" s="121"/>
      <c r="FG122" s="121"/>
      <c r="FH122" s="121"/>
      <c r="FI122" s="121"/>
      <c r="FJ122" s="121"/>
      <c r="FK122" s="121"/>
      <c r="FL122" s="121"/>
      <c r="FM122" s="121"/>
      <c r="FN122" s="121"/>
      <c r="FO122" s="121"/>
      <c r="FP122" s="121"/>
      <c r="FQ122" s="121"/>
      <c r="FR122" s="121"/>
      <c r="FS122" s="121"/>
      <c r="FT122" s="121"/>
      <c r="FU122" s="121"/>
      <c r="FV122" s="121"/>
      <c r="FW122" s="121"/>
      <c r="FX122" s="121"/>
      <c r="FY122" s="121"/>
      <c r="FZ122" s="121"/>
      <c r="GA122" s="121"/>
      <c r="GB122" s="121"/>
      <c r="GC122" s="121"/>
      <c r="GD122" s="121"/>
      <c r="GE122" s="121"/>
      <c r="GF122" s="121"/>
      <c r="GG122" s="121"/>
      <c r="GH122" s="121"/>
      <c r="GI122" s="121"/>
      <c r="GJ122" s="121"/>
      <c r="GK122" s="121"/>
      <c r="GL122" s="121"/>
      <c r="GM122" s="121"/>
      <c r="GN122" s="121"/>
      <c r="GO122" s="121"/>
      <c r="GP122" s="121"/>
      <c r="GQ122" s="121"/>
      <c r="GR122" s="121"/>
      <c r="GS122" s="121"/>
      <c r="GT122" s="121"/>
      <c r="GU122" s="121"/>
      <c r="GV122" s="121"/>
      <c r="GW122" s="121"/>
      <c r="GX122" s="121"/>
      <c r="GY122" s="121"/>
      <c r="GZ122" s="121"/>
      <c r="HA122" s="121"/>
      <c r="HB122" s="121"/>
      <c r="HC122" s="121"/>
      <c r="HD122" s="121"/>
      <c r="HE122" s="121"/>
      <c r="HF122" s="121"/>
      <c r="HG122" s="121"/>
      <c r="HH122" s="121"/>
      <c r="HI122" s="121"/>
      <c r="HJ122" s="121"/>
      <c r="HK122" s="121"/>
      <c r="HL122" s="121"/>
      <c r="HM122" s="121"/>
      <c r="HN122" s="121"/>
      <c r="HO122" s="121"/>
      <c r="HP122" s="121"/>
      <c r="HQ122" s="121"/>
      <c r="HR122" s="121"/>
      <c r="HS122" s="121"/>
      <c r="HT122" s="121"/>
      <c r="HU122" s="121"/>
      <c r="HV122" s="121"/>
      <c r="HW122" s="121"/>
      <c r="HX122" s="121"/>
      <c r="HY122" s="121"/>
      <c r="HZ122" s="121"/>
      <c r="IA122" s="121"/>
      <c r="IB122" s="120"/>
    </row>
    <row r="123" spans="3:236" ht="3.75" customHeight="1">
      <c r="C123" s="140"/>
      <c r="D123" s="141"/>
      <c r="E123" s="148"/>
      <c r="F123" s="149"/>
      <c r="G123" s="149"/>
      <c r="H123" s="149"/>
      <c r="I123" s="149"/>
      <c r="J123" s="149"/>
      <c r="K123" s="149"/>
      <c r="L123" s="149"/>
      <c r="M123" s="149"/>
      <c r="N123" s="149"/>
      <c r="O123" s="121"/>
      <c r="P123" s="121"/>
      <c r="Q123" s="150" t="s">
        <v>1065</v>
      </c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50"/>
      <c r="AH123" s="150"/>
      <c r="AI123" s="150"/>
      <c r="AJ123" s="150"/>
      <c r="AK123" s="150"/>
      <c r="AL123" s="150"/>
      <c r="AM123" s="150"/>
      <c r="AN123" s="150"/>
      <c r="AO123" s="150"/>
      <c r="AP123" s="150"/>
      <c r="AQ123" s="150"/>
      <c r="AR123" s="150"/>
      <c r="AS123" s="150"/>
      <c r="AT123" s="150"/>
      <c r="AU123" s="150"/>
      <c r="AV123" s="150"/>
      <c r="AW123" s="150"/>
      <c r="AX123" s="150"/>
      <c r="AY123" s="141"/>
      <c r="AZ123" s="142"/>
      <c r="BC123" s="116"/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21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  <c r="DK123" s="121"/>
      <c r="DL123" s="121"/>
      <c r="DM123" s="121"/>
      <c r="DN123" s="121"/>
      <c r="DO123" s="121"/>
      <c r="DP123" s="121"/>
      <c r="DQ123" s="121"/>
      <c r="DR123" s="121"/>
      <c r="DS123" s="121"/>
      <c r="DT123" s="121"/>
      <c r="DU123" s="121"/>
      <c r="DV123" s="121"/>
      <c r="DW123" s="121"/>
      <c r="DX123" s="121"/>
      <c r="DY123" s="121"/>
      <c r="DZ123" s="121"/>
      <c r="EA123" s="121"/>
      <c r="EB123" s="121"/>
      <c r="EC123" s="121"/>
      <c r="ED123" s="121"/>
      <c r="EE123" s="121"/>
      <c r="EF123" s="121"/>
      <c r="EG123" s="121"/>
      <c r="EH123" s="121"/>
      <c r="EI123" s="121"/>
      <c r="EJ123" s="121"/>
      <c r="EK123" s="121"/>
      <c r="EL123" s="121"/>
      <c r="EM123" s="120"/>
      <c r="EP123" s="116"/>
      <c r="EQ123" s="121"/>
      <c r="ER123" s="121"/>
      <c r="ES123" s="121"/>
      <c r="ET123" s="121"/>
      <c r="EU123" s="121"/>
      <c r="EV123" s="121"/>
      <c r="EW123" s="121"/>
      <c r="EX123" s="121"/>
      <c r="EY123" s="121"/>
      <c r="EZ123" s="121"/>
      <c r="FA123" s="121"/>
      <c r="FB123" s="121"/>
      <c r="FC123" s="121"/>
      <c r="FD123" s="121"/>
      <c r="FE123" s="121"/>
      <c r="FF123" s="121"/>
      <c r="FG123" s="121"/>
      <c r="FH123" s="121"/>
      <c r="FI123" s="121"/>
      <c r="FJ123" s="121"/>
      <c r="FK123" s="121"/>
      <c r="FL123" s="121"/>
      <c r="FM123" s="121"/>
      <c r="FN123" s="121"/>
      <c r="FO123" s="121"/>
      <c r="FP123" s="121"/>
      <c r="FQ123" s="121"/>
      <c r="FR123" s="121"/>
      <c r="FS123" s="121"/>
      <c r="FT123" s="121"/>
      <c r="FU123" s="121"/>
      <c r="FV123" s="121"/>
      <c r="FW123" s="121"/>
      <c r="FX123" s="121"/>
      <c r="FY123" s="121"/>
      <c r="FZ123" s="121"/>
      <c r="GA123" s="121"/>
      <c r="GB123" s="121"/>
      <c r="GC123" s="121"/>
      <c r="GD123" s="121"/>
      <c r="GE123" s="121"/>
      <c r="GF123" s="121"/>
      <c r="GG123" s="121"/>
      <c r="GH123" s="121"/>
      <c r="GI123" s="121"/>
      <c r="GJ123" s="121"/>
      <c r="GK123" s="121"/>
      <c r="GL123" s="121"/>
      <c r="GM123" s="121"/>
      <c r="GN123" s="121"/>
      <c r="GO123" s="121"/>
      <c r="GP123" s="121"/>
      <c r="GQ123" s="121"/>
      <c r="GR123" s="121"/>
      <c r="GS123" s="121"/>
      <c r="GT123" s="121"/>
      <c r="GU123" s="121"/>
      <c r="GV123" s="121"/>
      <c r="GW123" s="121"/>
      <c r="GX123" s="121"/>
      <c r="GY123" s="121"/>
      <c r="GZ123" s="121"/>
      <c r="HA123" s="121"/>
      <c r="HB123" s="121"/>
      <c r="HC123" s="121"/>
      <c r="HD123" s="121"/>
      <c r="HE123" s="121"/>
      <c r="HF123" s="121"/>
      <c r="HG123" s="121"/>
      <c r="HH123" s="121"/>
      <c r="HI123" s="121"/>
      <c r="HJ123" s="121"/>
      <c r="HK123" s="121"/>
      <c r="HL123" s="121"/>
      <c r="HM123" s="121"/>
      <c r="HN123" s="121"/>
      <c r="HO123" s="121"/>
      <c r="HP123" s="121"/>
      <c r="HQ123" s="121"/>
      <c r="HR123" s="121"/>
      <c r="HS123" s="121"/>
      <c r="HT123" s="121"/>
      <c r="HU123" s="121"/>
      <c r="HV123" s="121"/>
      <c r="HW123" s="121"/>
      <c r="HX123" s="121"/>
      <c r="HY123" s="121"/>
      <c r="HZ123" s="121"/>
      <c r="IA123" s="121"/>
      <c r="IB123" s="120"/>
    </row>
    <row r="124" spans="3:236" ht="3.75" customHeight="1">
      <c r="C124" s="140"/>
      <c r="D124" s="141"/>
      <c r="E124" s="148"/>
      <c r="F124" s="149"/>
      <c r="G124" s="149"/>
      <c r="H124" s="149"/>
      <c r="I124" s="149"/>
      <c r="J124" s="149"/>
      <c r="K124" s="149"/>
      <c r="L124" s="149"/>
      <c r="M124" s="149"/>
      <c r="N124" s="149"/>
      <c r="O124" s="121"/>
      <c r="P124" s="121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50"/>
      <c r="AE124" s="150"/>
      <c r="AF124" s="150"/>
      <c r="AG124" s="150"/>
      <c r="AH124" s="150"/>
      <c r="AI124" s="150"/>
      <c r="AJ124" s="150"/>
      <c r="AK124" s="150"/>
      <c r="AL124" s="150"/>
      <c r="AM124" s="150"/>
      <c r="AN124" s="150"/>
      <c r="AO124" s="150"/>
      <c r="AP124" s="150"/>
      <c r="AQ124" s="150"/>
      <c r="AR124" s="150"/>
      <c r="AS124" s="150"/>
      <c r="AT124" s="150"/>
      <c r="AU124" s="150"/>
      <c r="AV124" s="150"/>
      <c r="AW124" s="150"/>
      <c r="AX124" s="150"/>
      <c r="AY124" s="141"/>
      <c r="AZ124" s="142"/>
      <c r="BC124" s="116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0"/>
      <c r="EP124" s="116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  <c r="GQ124" s="121"/>
      <c r="GR124" s="121"/>
      <c r="GS124" s="121"/>
      <c r="GT124" s="121"/>
      <c r="GU124" s="121"/>
      <c r="GV124" s="121"/>
      <c r="GW124" s="121"/>
      <c r="GX124" s="121"/>
      <c r="GY124" s="121"/>
      <c r="GZ124" s="121"/>
      <c r="HA124" s="121"/>
      <c r="HB124" s="121"/>
      <c r="HC124" s="121"/>
      <c r="HD124" s="121"/>
      <c r="HE124" s="121"/>
      <c r="HF124" s="121"/>
      <c r="HG124" s="121"/>
      <c r="HH124" s="121"/>
      <c r="HI124" s="121"/>
      <c r="HJ124" s="121"/>
      <c r="HK124" s="121"/>
      <c r="HL124" s="121"/>
      <c r="HM124" s="121"/>
      <c r="HN124" s="121"/>
      <c r="HO124" s="121"/>
      <c r="HP124" s="121"/>
      <c r="HQ124" s="121"/>
      <c r="HR124" s="121"/>
      <c r="HS124" s="121"/>
      <c r="HT124" s="121"/>
      <c r="HU124" s="121"/>
      <c r="HV124" s="121"/>
      <c r="HW124" s="121"/>
      <c r="HX124" s="121"/>
      <c r="HY124" s="121"/>
      <c r="HZ124" s="121"/>
      <c r="IA124" s="121"/>
      <c r="IB124" s="120"/>
    </row>
    <row r="125" spans="3:236" ht="3.75" customHeight="1">
      <c r="C125" s="140"/>
      <c r="D125" s="141"/>
      <c r="E125" s="148"/>
      <c r="F125" s="149"/>
      <c r="G125" s="149"/>
      <c r="H125" s="149"/>
      <c r="I125" s="149"/>
      <c r="J125" s="149"/>
      <c r="K125" s="149"/>
      <c r="L125" s="149"/>
      <c r="M125" s="149"/>
      <c r="N125" s="149"/>
      <c r="O125" s="121"/>
      <c r="P125" s="121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0"/>
      <c r="AU125" s="150"/>
      <c r="AV125" s="150"/>
      <c r="AW125" s="150"/>
      <c r="AX125" s="150"/>
      <c r="AY125" s="141"/>
      <c r="AZ125" s="142"/>
      <c r="BC125" s="116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0"/>
      <c r="EP125" s="116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  <c r="GQ125" s="121"/>
      <c r="GR125" s="121"/>
      <c r="GS125" s="121"/>
      <c r="GT125" s="121"/>
      <c r="GU125" s="121"/>
      <c r="GV125" s="121"/>
      <c r="GW125" s="121"/>
      <c r="GX125" s="121"/>
      <c r="GY125" s="121"/>
      <c r="GZ125" s="121"/>
      <c r="HA125" s="121"/>
      <c r="HB125" s="121"/>
      <c r="HC125" s="121"/>
      <c r="HD125" s="121"/>
      <c r="HE125" s="121"/>
      <c r="HF125" s="121"/>
      <c r="HG125" s="121"/>
      <c r="HH125" s="121"/>
      <c r="HI125" s="121"/>
      <c r="HJ125" s="121"/>
      <c r="HK125" s="121"/>
      <c r="HL125" s="121"/>
      <c r="HM125" s="121"/>
      <c r="HN125" s="121"/>
      <c r="HO125" s="121"/>
      <c r="HP125" s="121"/>
      <c r="HQ125" s="121"/>
      <c r="HR125" s="121"/>
      <c r="HS125" s="121"/>
      <c r="HT125" s="121"/>
      <c r="HU125" s="121"/>
      <c r="HV125" s="121"/>
      <c r="HW125" s="121"/>
      <c r="HX125" s="121"/>
      <c r="HY125" s="121"/>
      <c r="HZ125" s="121"/>
      <c r="IA125" s="121"/>
      <c r="IB125" s="120"/>
    </row>
    <row r="126" spans="3:236" ht="3.75" customHeight="1">
      <c r="C126" s="140"/>
      <c r="D126" s="141"/>
      <c r="E126" s="148"/>
      <c r="F126" s="149"/>
      <c r="G126" s="149"/>
      <c r="H126" s="149"/>
      <c r="I126" s="149"/>
      <c r="J126" s="149"/>
      <c r="K126" s="149"/>
      <c r="L126" s="149"/>
      <c r="M126" s="149"/>
      <c r="N126" s="149"/>
      <c r="O126" s="121"/>
      <c r="P126" s="121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141"/>
      <c r="AZ126" s="142"/>
      <c r="BC126" s="116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21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  <c r="DK126" s="121"/>
      <c r="DL126" s="121"/>
      <c r="DM126" s="121"/>
      <c r="DN126" s="121"/>
      <c r="DO126" s="121"/>
      <c r="DP126" s="121"/>
      <c r="DQ126" s="121"/>
      <c r="DR126" s="121"/>
      <c r="DS126" s="121"/>
      <c r="DT126" s="121"/>
      <c r="DU126" s="121"/>
      <c r="DV126" s="121"/>
      <c r="DW126" s="121"/>
      <c r="DX126" s="121"/>
      <c r="DY126" s="121"/>
      <c r="DZ126" s="121"/>
      <c r="EA126" s="121"/>
      <c r="EB126" s="121"/>
      <c r="EC126" s="121"/>
      <c r="ED126" s="121"/>
      <c r="EE126" s="121"/>
      <c r="EF126" s="121"/>
      <c r="EG126" s="121"/>
      <c r="EH126" s="121"/>
      <c r="EI126" s="121"/>
      <c r="EJ126" s="121"/>
      <c r="EK126" s="121"/>
      <c r="EL126" s="121"/>
      <c r="EM126" s="120"/>
      <c r="EP126" s="116"/>
      <c r="EQ126" s="121"/>
      <c r="ER126" s="121"/>
      <c r="ES126" s="121"/>
      <c r="ET126" s="121"/>
      <c r="EU126" s="121"/>
      <c r="EV126" s="121"/>
      <c r="EW126" s="121"/>
      <c r="EX126" s="121"/>
      <c r="EY126" s="121"/>
      <c r="EZ126" s="121"/>
      <c r="FA126" s="121"/>
      <c r="FB126" s="121"/>
      <c r="FC126" s="121"/>
      <c r="FD126" s="121"/>
      <c r="FE126" s="121"/>
      <c r="FF126" s="121"/>
      <c r="FG126" s="121"/>
      <c r="FH126" s="121"/>
      <c r="FI126" s="121"/>
      <c r="FJ126" s="121"/>
      <c r="FK126" s="121"/>
      <c r="FL126" s="121"/>
      <c r="FM126" s="121"/>
      <c r="FN126" s="121"/>
      <c r="FO126" s="121"/>
      <c r="FP126" s="121"/>
      <c r="FQ126" s="121"/>
      <c r="FR126" s="121"/>
      <c r="FS126" s="121"/>
      <c r="FT126" s="121"/>
      <c r="FU126" s="121"/>
      <c r="FV126" s="121"/>
      <c r="FW126" s="121"/>
      <c r="FX126" s="121"/>
      <c r="FY126" s="121"/>
      <c r="FZ126" s="121"/>
      <c r="GA126" s="121"/>
      <c r="GB126" s="121"/>
      <c r="GC126" s="121"/>
      <c r="GD126" s="121"/>
      <c r="GE126" s="121"/>
      <c r="GF126" s="121"/>
      <c r="GG126" s="121"/>
      <c r="GH126" s="121"/>
      <c r="GI126" s="121"/>
      <c r="GJ126" s="121"/>
      <c r="GK126" s="121"/>
      <c r="GL126" s="121"/>
      <c r="GM126" s="121"/>
      <c r="GN126" s="121"/>
      <c r="GO126" s="121"/>
      <c r="GP126" s="121"/>
      <c r="GQ126" s="121"/>
      <c r="GR126" s="121"/>
      <c r="GS126" s="121"/>
      <c r="GT126" s="121"/>
      <c r="GU126" s="121"/>
      <c r="GV126" s="121"/>
      <c r="GW126" s="121"/>
      <c r="GX126" s="121"/>
      <c r="GY126" s="121"/>
      <c r="GZ126" s="121"/>
      <c r="HA126" s="121"/>
      <c r="HB126" s="121"/>
      <c r="HC126" s="121"/>
      <c r="HD126" s="121"/>
      <c r="HE126" s="121"/>
      <c r="HF126" s="121"/>
      <c r="HG126" s="121"/>
      <c r="HH126" s="121"/>
      <c r="HI126" s="121"/>
      <c r="HJ126" s="121"/>
      <c r="HK126" s="121"/>
      <c r="HL126" s="121"/>
      <c r="HM126" s="121"/>
      <c r="HN126" s="121"/>
      <c r="HO126" s="121"/>
      <c r="HP126" s="121"/>
      <c r="HQ126" s="121"/>
      <c r="HR126" s="121"/>
      <c r="HS126" s="121"/>
      <c r="HT126" s="121"/>
      <c r="HU126" s="121"/>
      <c r="HV126" s="121"/>
      <c r="HW126" s="121"/>
      <c r="HX126" s="121"/>
      <c r="HY126" s="121"/>
      <c r="HZ126" s="121"/>
      <c r="IA126" s="121"/>
      <c r="IB126" s="120"/>
    </row>
    <row r="127" spans="3:236" ht="3.75" customHeight="1">
      <c r="C127" s="140"/>
      <c r="D127" s="141"/>
      <c r="E127" s="154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  <c r="AH127" s="150"/>
      <c r="AI127" s="150"/>
      <c r="AJ127" s="150"/>
      <c r="AK127" s="150"/>
      <c r="AL127" s="150"/>
      <c r="AM127" s="150"/>
      <c r="AN127" s="150"/>
      <c r="AO127" s="150"/>
      <c r="AP127" s="150"/>
      <c r="AQ127" s="150"/>
      <c r="AR127" s="150"/>
      <c r="AS127" s="150"/>
      <c r="AT127" s="150"/>
      <c r="AU127" s="150"/>
      <c r="AV127" s="150"/>
      <c r="AW127" s="150"/>
      <c r="AX127" s="150"/>
      <c r="AY127" s="141"/>
      <c r="AZ127" s="142"/>
      <c r="BC127" s="116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21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  <c r="DK127" s="121"/>
      <c r="DL127" s="121"/>
      <c r="DM127" s="121"/>
      <c r="DN127" s="121"/>
      <c r="DO127" s="121"/>
      <c r="DP127" s="121"/>
      <c r="DQ127" s="121"/>
      <c r="DR127" s="121"/>
      <c r="DS127" s="121"/>
      <c r="DT127" s="121"/>
      <c r="DU127" s="121"/>
      <c r="DV127" s="121"/>
      <c r="DW127" s="121"/>
      <c r="DX127" s="121"/>
      <c r="DY127" s="121"/>
      <c r="DZ127" s="121"/>
      <c r="EA127" s="121"/>
      <c r="EB127" s="121"/>
      <c r="EC127" s="121"/>
      <c r="ED127" s="121"/>
      <c r="EE127" s="121"/>
      <c r="EF127" s="121"/>
      <c r="EG127" s="121"/>
      <c r="EH127" s="121"/>
      <c r="EI127" s="121"/>
      <c r="EJ127" s="121"/>
      <c r="EK127" s="121"/>
      <c r="EL127" s="121"/>
      <c r="EM127" s="120"/>
      <c r="EP127" s="116"/>
      <c r="EQ127" s="121"/>
      <c r="ER127" s="121"/>
      <c r="ES127" s="121"/>
      <c r="ET127" s="121"/>
      <c r="EU127" s="121"/>
      <c r="EV127" s="121"/>
      <c r="EW127" s="121"/>
      <c r="EX127" s="121"/>
      <c r="EY127" s="121"/>
      <c r="EZ127" s="121"/>
      <c r="FA127" s="121"/>
      <c r="FB127" s="121"/>
      <c r="FC127" s="121"/>
      <c r="FD127" s="121"/>
      <c r="FE127" s="121"/>
      <c r="FF127" s="121"/>
      <c r="FG127" s="121"/>
      <c r="FH127" s="121"/>
      <c r="FI127" s="121"/>
      <c r="FJ127" s="121"/>
      <c r="FK127" s="121"/>
      <c r="FL127" s="121"/>
      <c r="FM127" s="121"/>
      <c r="FN127" s="121"/>
      <c r="FO127" s="121"/>
      <c r="FP127" s="121"/>
      <c r="FQ127" s="121"/>
      <c r="FR127" s="121"/>
      <c r="FS127" s="121"/>
      <c r="FT127" s="121"/>
      <c r="FU127" s="121"/>
      <c r="FV127" s="121"/>
      <c r="FW127" s="121"/>
      <c r="FX127" s="121"/>
      <c r="FY127" s="121"/>
      <c r="FZ127" s="121"/>
      <c r="GA127" s="121"/>
      <c r="GB127" s="121"/>
      <c r="GC127" s="121"/>
      <c r="GD127" s="121"/>
      <c r="GE127" s="121"/>
      <c r="GF127" s="121"/>
      <c r="GG127" s="121"/>
      <c r="GH127" s="121"/>
      <c r="GI127" s="121"/>
      <c r="GJ127" s="121"/>
      <c r="GK127" s="121"/>
      <c r="GL127" s="121"/>
      <c r="GM127" s="121"/>
      <c r="GN127" s="121"/>
      <c r="GO127" s="121"/>
      <c r="GP127" s="121"/>
      <c r="GQ127" s="121"/>
      <c r="GR127" s="121"/>
      <c r="GS127" s="121"/>
      <c r="GT127" s="121"/>
      <c r="GU127" s="121"/>
      <c r="GV127" s="121"/>
      <c r="GW127" s="121"/>
      <c r="GX127" s="121"/>
      <c r="GY127" s="121"/>
      <c r="GZ127" s="121"/>
      <c r="HA127" s="121"/>
      <c r="HB127" s="121"/>
      <c r="HC127" s="121"/>
      <c r="HD127" s="121"/>
      <c r="HE127" s="121"/>
      <c r="HF127" s="121"/>
      <c r="HG127" s="121"/>
      <c r="HH127" s="121"/>
      <c r="HI127" s="121"/>
      <c r="HJ127" s="121"/>
      <c r="HK127" s="121"/>
      <c r="HL127" s="121"/>
      <c r="HM127" s="121"/>
      <c r="HN127" s="121"/>
      <c r="HO127" s="121"/>
      <c r="HP127" s="121"/>
      <c r="HQ127" s="121"/>
      <c r="HR127" s="121"/>
      <c r="HS127" s="121"/>
      <c r="HT127" s="121"/>
      <c r="HU127" s="121"/>
      <c r="HV127" s="121"/>
      <c r="HW127" s="121"/>
      <c r="HX127" s="121"/>
      <c r="HY127" s="121"/>
      <c r="HZ127" s="121"/>
      <c r="IA127" s="121"/>
      <c r="IB127" s="120"/>
    </row>
    <row r="128" spans="3:236" ht="3.75" customHeight="1">
      <c r="C128" s="140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2"/>
      <c r="BC128" s="116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21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  <c r="DK128" s="121"/>
      <c r="DL128" s="121"/>
      <c r="DM128" s="121"/>
      <c r="DN128" s="121"/>
      <c r="DO128" s="121"/>
      <c r="DP128" s="121"/>
      <c r="DQ128" s="121"/>
      <c r="DR128" s="121"/>
      <c r="DS128" s="121"/>
      <c r="DT128" s="121"/>
      <c r="DU128" s="121"/>
      <c r="DV128" s="121"/>
      <c r="DW128" s="121"/>
      <c r="DX128" s="121"/>
      <c r="DY128" s="121"/>
      <c r="DZ128" s="121"/>
      <c r="EA128" s="121"/>
      <c r="EB128" s="121"/>
      <c r="EC128" s="121"/>
      <c r="ED128" s="121"/>
      <c r="EE128" s="121"/>
      <c r="EF128" s="121"/>
      <c r="EG128" s="121"/>
      <c r="EH128" s="121"/>
      <c r="EI128" s="121"/>
      <c r="EJ128" s="121"/>
      <c r="EK128" s="121"/>
      <c r="EL128" s="121"/>
      <c r="EM128" s="120"/>
      <c r="EP128" s="116"/>
      <c r="EQ128" s="121"/>
      <c r="ER128" s="121"/>
      <c r="ES128" s="121"/>
      <c r="ET128" s="121"/>
      <c r="EU128" s="121"/>
      <c r="EV128" s="121"/>
      <c r="EW128" s="121"/>
      <c r="EX128" s="121"/>
      <c r="EY128" s="121"/>
      <c r="EZ128" s="121"/>
      <c r="FA128" s="121"/>
      <c r="FB128" s="121"/>
      <c r="FC128" s="121"/>
      <c r="FD128" s="121"/>
      <c r="FE128" s="121"/>
      <c r="FF128" s="121"/>
      <c r="FG128" s="121"/>
      <c r="FH128" s="121"/>
      <c r="FI128" s="121"/>
      <c r="FJ128" s="121"/>
      <c r="FK128" s="121"/>
      <c r="FL128" s="121"/>
      <c r="FM128" s="121"/>
      <c r="FN128" s="121"/>
      <c r="FO128" s="121"/>
      <c r="FP128" s="121"/>
      <c r="FQ128" s="121"/>
      <c r="FR128" s="121"/>
      <c r="FS128" s="121"/>
      <c r="FT128" s="121"/>
      <c r="FU128" s="121"/>
      <c r="FV128" s="121"/>
      <c r="FW128" s="121"/>
      <c r="FX128" s="121"/>
      <c r="FY128" s="121"/>
      <c r="FZ128" s="121"/>
      <c r="GA128" s="121"/>
      <c r="GB128" s="121"/>
      <c r="GC128" s="121"/>
      <c r="GD128" s="121"/>
      <c r="GE128" s="121"/>
      <c r="GF128" s="121"/>
      <c r="GG128" s="121"/>
      <c r="GH128" s="121"/>
      <c r="GI128" s="121"/>
      <c r="GJ128" s="121"/>
      <c r="GK128" s="121"/>
      <c r="GL128" s="121"/>
      <c r="GM128" s="121"/>
      <c r="GN128" s="121"/>
      <c r="GO128" s="121"/>
      <c r="GP128" s="121"/>
      <c r="GQ128" s="121"/>
      <c r="GR128" s="121"/>
      <c r="GS128" s="121"/>
      <c r="GT128" s="121"/>
      <c r="GU128" s="121"/>
      <c r="GV128" s="121"/>
      <c r="GW128" s="121"/>
      <c r="GX128" s="121"/>
      <c r="GY128" s="121"/>
      <c r="GZ128" s="121"/>
      <c r="HA128" s="121"/>
      <c r="HB128" s="121"/>
      <c r="HC128" s="121"/>
      <c r="HD128" s="121"/>
      <c r="HE128" s="121"/>
      <c r="HF128" s="121"/>
      <c r="HG128" s="121"/>
      <c r="HH128" s="121"/>
      <c r="HI128" s="121"/>
      <c r="HJ128" s="121"/>
      <c r="HK128" s="121"/>
      <c r="HL128" s="121"/>
      <c r="HM128" s="121"/>
      <c r="HN128" s="121"/>
      <c r="HO128" s="121"/>
      <c r="HP128" s="121"/>
      <c r="HQ128" s="121"/>
      <c r="HR128" s="121"/>
      <c r="HS128" s="121"/>
      <c r="HT128" s="121"/>
      <c r="HU128" s="121"/>
      <c r="HV128" s="121"/>
      <c r="HW128" s="121"/>
      <c r="HX128" s="121"/>
      <c r="HY128" s="121"/>
      <c r="HZ128" s="121"/>
      <c r="IA128" s="121"/>
      <c r="IB128" s="120"/>
    </row>
    <row r="129" spans="3:236" ht="3.75" customHeight="1">
      <c r="C129" s="140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41"/>
      <c r="AJ129" s="141"/>
      <c r="AK129" s="141"/>
      <c r="AL129" s="141"/>
      <c r="AM129" s="141"/>
      <c r="AN129" s="141"/>
      <c r="AO129" s="141"/>
      <c r="AP129" s="141"/>
      <c r="AQ129" s="141"/>
      <c r="AR129" s="141"/>
      <c r="AS129" s="141"/>
      <c r="AT129" s="141"/>
      <c r="AU129" s="141"/>
      <c r="AV129" s="141"/>
      <c r="AW129" s="141"/>
      <c r="AX129" s="141"/>
      <c r="AY129" s="141"/>
      <c r="AZ129" s="142"/>
      <c r="BC129" s="116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21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  <c r="DK129" s="121"/>
      <c r="DL129" s="121"/>
      <c r="DM129" s="121"/>
      <c r="DN129" s="121"/>
      <c r="DO129" s="121"/>
      <c r="DP129" s="121"/>
      <c r="DQ129" s="121"/>
      <c r="DR129" s="121"/>
      <c r="DS129" s="121"/>
      <c r="DT129" s="121"/>
      <c r="DU129" s="121"/>
      <c r="DV129" s="121"/>
      <c r="DW129" s="121"/>
      <c r="DX129" s="121"/>
      <c r="DY129" s="121"/>
      <c r="DZ129" s="121"/>
      <c r="EA129" s="121"/>
      <c r="EB129" s="121"/>
      <c r="EC129" s="121"/>
      <c r="ED129" s="121"/>
      <c r="EE129" s="121"/>
      <c r="EF129" s="121"/>
      <c r="EG129" s="121"/>
      <c r="EH129" s="121"/>
      <c r="EI129" s="121"/>
      <c r="EJ129" s="121"/>
      <c r="EK129" s="121"/>
      <c r="EL129" s="121"/>
      <c r="EM129" s="120"/>
      <c r="EP129" s="116"/>
      <c r="EQ129" s="121"/>
      <c r="ER129" s="121"/>
      <c r="ES129" s="121"/>
      <c r="ET129" s="121"/>
      <c r="EU129" s="121"/>
      <c r="EV129" s="121"/>
      <c r="EW129" s="121"/>
      <c r="EX129" s="121"/>
      <c r="EY129" s="121"/>
      <c r="EZ129" s="121"/>
      <c r="FA129" s="121"/>
      <c r="FB129" s="121"/>
      <c r="FC129" s="121"/>
      <c r="FD129" s="121"/>
      <c r="FE129" s="121"/>
      <c r="FF129" s="121"/>
      <c r="FG129" s="121"/>
      <c r="FH129" s="121"/>
      <c r="FI129" s="121"/>
      <c r="FJ129" s="121"/>
      <c r="FK129" s="121"/>
      <c r="FL129" s="121"/>
      <c r="FM129" s="121"/>
      <c r="FN129" s="121"/>
      <c r="FO129" s="121"/>
      <c r="FP129" s="121"/>
      <c r="FQ129" s="121"/>
      <c r="FR129" s="121"/>
      <c r="FS129" s="121"/>
      <c r="FT129" s="121"/>
      <c r="FU129" s="121"/>
      <c r="FV129" s="121"/>
      <c r="FW129" s="121"/>
      <c r="FX129" s="121"/>
      <c r="FY129" s="121"/>
      <c r="FZ129" s="121"/>
      <c r="GA129" s="121"/>
      <c r="GB129" s="121"/>
      <c r="GC129" s="121"/>
      <c r="GD129" s="121"/>
      <c r="GE129" s="121"/>
      <c r="GF129" s="121"/>
      <c r="GG129" s="121"/>
      <c r="GH129" s="121"/>
      <c r="GI129" s="121"/>
      <c r="GJ129" s="121"/>
      <c r="GK129" s="121"/>
      <c r="GL129" s="121"/>
      <c r="GM129" s="121"/>
      <c r="GN129" s="121"/>
      <c r="GO129" s="121"/>
      <c r="GP129" s="121"/>
      <c r="GQ129" s="121"/>
      <c r="GR129" s="121"/>
      <c r="GS129" s="121"/>
      <c r="GT129" s="121"/>
      <c r="GU129" s="121"/>
      <c r="GV129" s="121"/>
      <c r="GW129" s="121"/>
      <c r="GX129" s="121"/>
      <c r="GY129" s="121"/>
      <c r="GZ129" s="121"/>
      <c r="HA129" s="121"/>
      <c r="HB129" s="121"/>
      <c r="HC129" s="121"/>
      <c r="HD129" s="121"/>
      <c r="HE129" s="121"/>
      <c r="HF129" s="121"/>
      <c r="HG129" s="121"/>
      <c r="HH129" s="121"/>
      <c r="HI129" s="121"/>
      <c r="HJ129" s="121"/>
      <c r="HK129" s="121"/>
      <c r="HL129" s="121"/>
      <c r="HM129" s="121"/>
      <c r="HN129" s="121"/>
      <c r="HO129" s="121"/>
      <c r="HP129" s="121"/>
      <c r="HQ129" s="121"/>
      <c r="HR129" s="121"/>
      <c r="HS129" s="121"/>
      <c r="HT129" s="121"/>
      <c r="HU129" s="121"/>
      <c r="HV129" s="121"/>
      <c r="HW129" s="121"/>
      <c r="HX129" s="121"/>
      <c r="HY129" s="121"/>
      <c r="HZ129" s="121"/>
      <c r="IA129" s="121"/>
      <c r="IB129" s="120"/>
    </row>
    <row r="130" spans="3:236" ht="3.75" customHeight="1">
      <c r="C130" s="140"/>
      <c r="D130" s="141"/>
      <c r="E130" s="145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59">
        <f>IFERROR(GETPIVOTDATA("Rides",'Pivot Table 4'!$A$3)-GETPIVOTDATA("Rated Rides",'Pivot Table 4'!$A$3),0)</f>
        <v>109</v>
      </c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  <c r="AM130" s="159"/>
      <c r="AN130" s="159"/>
      <c r="AO130" s="159"/>
      <c r="AP130" s="159"/>
      <c r="AQ130" s="159"/>
      <c r="AR130" s="159"/>
      <c r="AS130" s="159"/>
      <c r="AT130" s="159"/>
      <c r="AU130" s="159"/>
      <c r="AV130" s="159"/>
      <c r="AW130" s="159"/>
      <c r="AX130" s="159"/>
      <c r="AY130" s="141"/>
      <c r="AZ130" s="142"/>
      <c r="BC130" s="116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21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  <c r="DK130" s="121"/>
      <c r="DL130" s="121"/>
      <c r="DM130" s="121"/>
      <c r="DN130" s="121"/>
      <c r="DO130" s="121"/>
      <c r="DP130" s="121"/>
      <c r="DQ130" s="121"/>
      <c r="DR130" s="121"/>
      <c r="DS130" s="121"/>
      <c r="DT130" s="121"/>
      <c r="DU130" s="121"/>
      <c r="DV130" s="121"/>
      <c r="DW130" s="121"/>
      <c r="DX130" s="121"/>
      <c r="DY130" s="121"/>
      <c r="DZ130" s="121"/>
      <c r="EA130" s="121"/>
      <c r="EB130" s="121"/>
      <c r="EC130" s="121"/>
      <c r="ED130" s="121"/>
      <c r="EE130" s="121"/>
      <c r="EF130" s="121"/>
      <c r="EG130" s="121"/>
      <c r="EH130" s="121"/>
      <c r="EI130" s="121"/>
      <c r="EJ130" s="121"/>
      <c r="EK130" s="121"/>
      <c r="EL130" s="121"/>
      <c r="EM130" s="120"/>
      <c r="EP130" s="116"/>
      <c r="EQ130" s="121"/>
      <c r="ER130" s="121"/>
      <c r="ES130" s="121"/>
      <c r="ET130" s="121"/>
      <c r="EU130" s="121"/>
      <c r="EV130" s="121"/>
      <c r="EW130" s="121"/>
      <c r="EX130" s="121"/>
      <c r="EY130" s="121"/>
      <c r="EZ130" s="121"/>
      <c r="FA130" s="121"/>
      <c r="FB130" s="121"/>
      <c r="FC130" s="121"/>
      <c r="FD130" s="121"/>
      <c r="FE130" s="121"/>
      <c r="FF130" s="121"/>
      <c r="FG130" s="121"/>
      <c r="FH130" s="121"/>
      <c r="FI130" s="121"/>
      <c r="FJ130" s="121"/>
      <c r="FK130" s="121"/>
      <c r="FL130" s="121"/>
      <c r="FM130" s="121"/>
      <c r="FN130" s="121"/>
      <c r="FO130" s="121"/>
      <c r="FP130" s="121"/>
      <c r="FQ130" s="121"/>
      <c r="FR130" s="121"/>
      <c r="FS130" s="121"/>
      <c r="FT130" s="121"/>
      <c r="FU130" s="121"/>
      <c r="FV130" s="121"/>
      <c r="FW130" s="121"/>
      <c r="FX130" s="121"/>
      <c r="FY130" s="121"/>
      <c r="FZ130" s="121"/>
      <c r="GA130" s="121"/>
      <c r="GB130" s="121"/>
      <c r="GC130" s="121"/>
      <c r="GD130" s="121"/>
      <c r="GE130" s="121"/>
      <c r="GF130" s="121"/>
      <c r="GG130" s="121"/>
      <c r="GH130" s="121"/>
      <c r="GI130" s="121"/>
      <c r="GJ130" s="121"/>
      <c r="GK130" s="121"/>
      <c r="GL130" s="121"/>
      <c r="GM130" s="121"/>
      <c r="GN130" s="121"/>
      <c r="GO130" s="121"/>
      <c r="GP130" s="121"/>
      <c r="GQ130" s="121"/>
      <c r="GR130" s="121"/>
      <c r="GS130" s="121"/>
      <c r="GT130" s="121"/>
      <c r="GU130" s="121"/>
      <c r="GV130" s="121"/>
      <c r="GW130" s="121"/>
      <c r="GX130" s="121"/>
      <c r="GY130" s="121"/>
      <c r="GZ130" s="121"/>
      <c r="HA130" s="121"/>
      <c r="HB130" s="121"/>
      <c r="HC130" s="121"/>
      <c r="HD130" s="121"/>
      <c r="HE130" s="121"/>
      <c r="HF130" s="121"/>
      <c r="HG130" s="121"/>
      <c r="HH130" s="121"/>
      <c r="HI130" s="121"/>
      <c r="HJ130" s="121"/>
      <c r="HK130" s="121"/>
      <c r="HL130" s="121"/>
      <c r="HM130" s="121"/>
      <c r="HN130" s="121"/>
      <c r="HO130" s="121"/>
      <c r="HP130" s="121"/>
      <c r="HQ130" s="121"/>
      <c r="HR130" s="121"/>
      <c r="HS130" s="121"/>
      <c r="HT130" s="121"/>
      <c r="HU130" s="121"/>
      <c r="HV130" s="121"/>
      <c r="HW130" s="121"/>
      <c r="HX130" s="121"/>
      <c r="HY130" s="121"/>
      <c r="HZ130" s="121"/>
      <c r="IA130" s="121"/>
      <c r="IB130" s="120"/>
    </row>
    <row r="131" spans="3:236" ht="3.75" customHeight="1">
      <c r="C131" s="140"/>
      <c r="D131" s="141"/>
      <c r="E131" s="148"/>
      <c r="F131" s="149" t="s">
        <v>1066</v>
      </c>
      <c r="G131" s="149"/>
      <c r="H131" s="149"/>
      <c r="I131" s="149"/>
      <c r="J131" s="149"/>
      <c r="K131" s="149"/>
      <c r="L131" s="149"/>
      <c r="M131" s="149"/>
      <c r="N131" s="149"/>
      <c r="O131" s="121"/>
      <c r="P131" s="121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  <c r="AM131" s="159"/>
      <c r="AN131" s="159"/>
      <c r="AO131" s="159"/>
      <c r="AP131" s="159"/>
      <c r="AQ131" s="159"/>
      <c r="AR131" s="159"/>
      <c r="AS131" s="159"/>
      <c r="AT131" s="159"/>
      <c r="AU131" s="159"/>
      <c r="AV131" s="159"/>
      <c r="AW131" s="159"/>
      <c r="AX131" s="159"/>
      <c r="AY131" s="141"/>
      <c r="AZ131" s="142"/>
      <c r="BC131" s="116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21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  <c r="DK131" s="121"/>
      <c r="DL131" s="121"/>
      <c r="DM131" s="121"/>
      <c r="DN131" s="121"/>
      <c r="DO131" s="121"/>
      <c r="DP131" s="121"/>
      <c r="DQ131" s="121"/>
      <c r="DR131" s="121"/>
      <c r="DS131" s="121"/>
      <c r="DT131" s="121"/>
      <c r="DU131" s="121"/>
      <c r="DV131" s="121"/>
      <c r="DW131" s="121"/>
      <c r="DX131" s="121"/>
      <c r="DY131" s="121"/>
      <c r="DZ131" s="121"/>
      <c r="EA131" s="121"/>
      <c r="EB131" s="121"/>
      <c r="EC131" s="121"/>
      <c r="ED131" s="121"/>
      <c r="EE131" s="121"/>
      <c r="EF131" s="121"/>
      <c r="EG131" s="121"/>
      <c r="EH131" s="121"/>
      <c r="EI131" s="121"/>
      <c r="EJ131" s="121"/>
      <c r="EK131" s="121"/>
      <c r="EL131" s="121"/>
      <c r="EM131" s="120"/>
      <c r="EP131" s="116"/>
      <c r="EQ131" s="121"/>
      <c r="ER131" s="121"/>
      <c r="ES131" s="121"/>
      <c r="ET131" s="121"/>
      <c r="EU131" s="121"/>
      <c r="EV131" s="121"/>
      <c r="EW131" s="121"/>
      <c r="EX131" s="121"/>
      <c r="EY131" s="121"/>
      <c r="EZ131" s="121"/>
      <c r="FA131" s="121"/>
      <c r="FB131" s="121"/>
      <c r="FC131" s="121"/>
      <c r="FD131" s="121"/>
      <c r="FE131" s="121"/>
      <c r="FF131" s="121"/>
      <c r="FG131" s="121"/>
      <c r="FH131" s="121"/>
      <c r="FI131" s="121"/>
      <c r="FJ131" s="121"/>
      <c r="FK131" s="121"/>
      <c r="FL131" s="121"/>
      <c r="FM131" s="121"/>
      <c r="FN131" s="121"/>
      <c r="FO131" s="121"/>
      <c r="FP131" s="121"/>
      <c r="FQ131" s="121"/>
      <c r="FR131" s="121"/>
      <c r="FS131" s="121"/>
      <c r="FT131" s="121"/>
      <c r="FU131" s="121"/>
      <c r="FV131" s="121"/>
      <c r="FW131" s="121"/>
      <c r="FX131" s="121"/>
      <c r="FY131" s="121"/>
      <c r="FZ131" s="121"/>
      <c r="GA131" s="121"/>
      <c r="GB131" s="121"/>
      <c r="GC131" s="121"/>
      <c r="GD131" s="121"/>
      <c r="GE131" s="121"/>
      <c r="GF131" s="121"/>
      <c r="GG131" s="121"/>
      <c r="GH131" s="121"/>
      <c r="GI131" s="121"/>
      <c r="GJ131" s="121"/>
      <c r="GK131" s="121"/>
      <c r="GL131" s="121"/>
      <c r="GM131" s="121"/>
      <c r="GN131" s="121"/>
      <c r="GO131" s="121"/>
      <c r="GP131" s="121"/>
      <c r="GQ131" s="121"/>
      <c r="GR131" s="121"/>
      <c r="GS131" s="121"/>
      <c r="GT131" s="121"/>
      <c r="GU131" s="121"/>
      <c r="GV131" s="121"/>
      <c r="GW131" s="121"/>
      <c r="GX131" s="121"/>
      <c r="GY131" s="121"/>
      <c r="GZ131" s="121"/>
      <c r="HA131" s="121"/>
      <c r="HB131" s="121"/>
      <c r="HC131" s="121"/>
      <c r="HD131" s="121"/>
      <c r="HE131" s="121"/>
      <c r="HF131" s="121"/>
      <c r="HG131" s="121"/>
      <c r="HH131" s="121"/>
      <c r="HI131" s="121"/>
      <c r="HJ131" s="121"/>
      <c r="HK131" s="121"/>
      <c r="HL131" s="121"/>
      <c r="HM131" s="121"/>
      <c r="HN131" s="121"/>
      <c r="HO131" s="121"/>
      <c r="HP131" s="121"/>
      <c r="HQ131" s="121"/>
      <c r="HR131" s="121"/>
      <c r="HS131" s="121"/>
      <c r="HT131" s="121"/>
      <c r="HU131" s="121"/>
      <c r="HV131" s="121"/>
      <c r="HW131" s="121"/>
      <c r="HX131" s="121"/>
      <c r="HY131" s="121"/>
      <c r="HZ131" s="121"/>
      <c r="IA131" s="121"/>
      <c r="IB131" s="120"/>
    </row>
    <row r="132" spans="3:236" ht="3.75" customHeight="1">
      <c r="C132" s="140"/>
      <c r="D132" s="141"/>
      <c r="E132" s="148"/>
      <c r="F132" s="149"/>
      <c r="G132" s="149"/>
      <c r="H132" s="149"/>
      <c r="I132" s="149"/>
      <c r="J132" s="149"/>
      <c r="K132" s="149"/>
      <c r="L132" s="149"/>
      <c r="M132" s="149"/>
      <c r="N132" s="149"/>
      <c r="O132" s="121"/>
      <c r="P132" s="121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  <c r="AM132" s="159"/>
      <c r="AN132" s="159"/>
      <c r="AO132" s="159"/>
      <c r="AP132" s="159"/>
      <c r="AQ132" s="159"/>
      <c r="AR132" s="159"/>
      <c r="AS132" s="159"/>
      <c r="AT132" s="159"/>
      <c r="AU132" s="159"/>
      <c r="AV132" s="159"/>
      <c r="AW132" s="159"/>
      <c r="AX132" s="159"/>
      <c r="AY132" s="141"/>
      <c r="AZ132" s="142"/>
      <c r="BC132" s="116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21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  <c r="DK132" s="121"/>
      <c r="DL132" s="121"/>
      <c r="DM132" s="121"/>
      <c r="DN132" s="121"/>
      <c r="DO132" s="121"/>
      <c r="DP132" s="121"/>
      <c r="DQ132" s="121"/>
      <c r="DR132" s="121"/>
      <c r="DS132" s="121"/>
      <c r="DT132" s="121"/>
      <c r="DU132" s="121"/>
      <c r="DV132" s="121"/>
      <c r="DW132" s="121"/>
      <c r="DX132" s="121"/>
      <c r="DY132" s="121"/>
      <c r="DZ132" s="121"/>
      <c r="EA132" s="121"/>
      <c r="EB132" s="121"/>
      <c r="EC132" s="121"/>
      <c r="ED132" s="121"/>
      <c r="EE132" s="121"/>
      <c r="EF132" s="121"/>
      <c r="EG132" s="121"/>
      <c r="EH132" s="121"/>
      <c r="EI132" s="121"/>
      <c r="EJ132" s="121"/>
      <c r="EK132" s="121"/>
      <c r="EL132" s="121"/>
      <c r="EM132" s="120"/>
      <c r="EP132" s="116"/>
      <c r="EQ132" s="121"/>
      <c r="ER132" s="121"/>
      <c r="ES132" s="121"/>
      <c r="ET132" s="121"/>
      <c r="EU132" s="121"/>
      <c r="EV132" s="121"/>
      <c r="EW132" s="121"/>
      <c r="EX132" s="121"/>
      <c r="EY132" s="121"/>
      <c r="EZ132" s="121"/>
      <c r="FA132" s="121"/>
      <c r="FB132" s="121"/>
      <c r="FC132" s="121"/>
      <c r="FD132" s="121"/>
      <c r="FE132" s="121"/>
      <c r="FF132" s="121"/>
      <c r="FG132" s="121"/>
      <c r="FH132" s="121"/>
      <c r="FI132" s="121"/>
      <c r="FJ132" s="121"/>
      <c r="FK132" s="121"/>
      <c r="FL132" s="121"/>
      <c r="FM132" s="121"/>
      <c r="FN132" s="121"/>
      <c r="FO132" s="121"/>
      <c r="FP132" s="121"/>
      <c r="FQ132" s="121"/>
      <c r="FR132" s="121"/>
      <c r="FS132" s="121"/>
      <c r="FT132" s="121"/>
      <c r="FU132" s="121"/>
      <c r="FV132" s="121"/>
      <c r="FW132" s="121"/>
      <c r="FX132" s="121"/>
      <c r="FY132" s="121"/>
      <c r="FZ132" s="121"/>
      <c r="GA132" s="121"/>
      <c r="GB132" s="121"/>
      <c r="GC132" s="121"/>
      <c r="GD132" s="121"/>
      <c r="GE132" s="121"/>
      <c r="GF132" s="121"/>
      <c r="GG132" s="121"/>
      <c r="GH132" s="121"/>
      <c r="GI132" s="121"/>
      <c r="GJ132" s="121"/>
      <c r="GK132" s="121"/>
      <c r="GL132" s="121"/>
      <c r="GM132" s="121"/>
      <c r="GN132" s="121"/>
      <c r="GO132" s="121"/>
      <c r="GP132" s="121"/>
      <c r="GQ132" s="121"/>
      <c r="GR132" s="121"/>
      <c r="GS132" s="121"/>
      <c r="GT132" s="121"/>
      <c r="GU132" s="121"/>
      <c r="GV132" s="121"/>
      <c r="GW132" s="121"/>
      <c r="GX132" s="121"/>
      <c r="GY132" s="121"/>
      <c r="GZ132" s="121"/>
      <c r="HA132" s="121"/>
      <c r="HB132" s="121"/>
      <c r="HC132" s="121"/>
      <c r="HD132" s="121"/>
      <c r="HE132" s="121"/>
      <c r="HF132" s="121"/>
      <c r="HG132" s="121"/>
      <c r="HH132" s="121"/>
      <c r="HI132" s="121"/>
      <c r="HJ132" s="121"/>
      <c r="HK132" s="121"/>
      <c r="HL132" s="121"/>
      <c r="HM132" s="121"/>
      <c r="HN132" s="121"/>
      <c r="HO132" s="121"/>
      <c r="HP132" s="121"/>
      <c r="HQ132" s="121"/>
      <c r="HR132" s="121"/>
      <c r="HS132" s="121"/>
      <c r="HT132" s="121"/>
      <c r="HU132" s="121"/>
      <c r="HV132" s="121"/>
      <c r="HW132" s="121"/>
      <c r="HX132" s="121"/>
      <c r="HY132" s="121"/>
      <c r="HZ132" s="121"/>
      <c r="IA132" s="121"/>
      <c r="IB132" s="120"/>
    </row>
    <row r="133" spans="3:236" ht="3.75" customHeight="1">
      <c r="C133" s="140"/>
      <c r="D133" s="141"/>
      <c r="E133" s="148"/>
      <c r="F133" s="149"/>
      <c r="G133" s="149"/>
      <c r="H133" s="149"/>
      <c r="I133" s="149"/>
      <c r="J133" s="149"/>
      <c r="K133" s="149"/>
      <c r="L133" s="149"/>
      <c r="M133" s="149"/>
      <c r="N133" s="149"/>
      <c r="O133" s="121"/>
      <c r="P133" s="121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  <c r="AM133" s="159"/>
      <c r="AN133" s="159"/>
      <c r="AO133" s="159"/>
      <c r="AP133" s="159"/>
      <c r="AQ133" s="159"/>
      <c r="AR133" s="159"/>
      <c r="AS133" s="159"/>
      <c r="AT133" s="159"/>
      <c r="AU133" s="159"/>
      <c r="AV133" s="159"/>
      <c r="AW133" s="159"/>
      <c r="AX133" s="159"/>
      <c r="AY133" s="141"/>
      <c r="AZ133" s="142"/>
      <c r="BC133" s="116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21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  <c r="DK133" s="121"/>
      <c r="DL133" s="121"/>
      <c r="DM133" s="121"/>
      <c r="DN133" s="121"/>
      <c r="DO133" s="121"/>
      <c r="DP133" s="121"/>
      <c r="DQ133" s="121"/>
      <c r="DR133" s="121"/>
      <c r="DS133" s="121"/>
      <c r="DT133" s="121"/>
      <c r="DU133" s="121"/>
      <c r="DV133" s="121"/>
      <c r="DW133" s="121"/>
      <c r="DX133" s="121"/>
      <c r="DY133" s="121"/>
      <c r="DZ133" s="121"/>
      <c r="EA133" s="121"/>
      <c r="EB133" s="121"/>
      <c r="EC133" s="121"/>
      <c r="ED133" s="121"/>
      <c r="EE133" s="121"/>
      <c r="EF133" s="121"/>
      <c r="EG133" s="121"/>
      <c r="EH133" s="121"/>
      <c r="EI133" s="121"/>
      <c r="EJ133" s="121"/>
      <c r="EK133" s="121"/>
      <c r="EL133" s="121"/>
      <c r="EM133" s="120"/>
      <c r="EP133" s="116"/>
      <c r="EQ133" s="121"/>
      <c r="ER133" s="121"/>
      <c r="ES133" s="121"/>
      <c r="ET133" s="121"/>
      <c r="EU133" s="121"/>
      <c r="EV133" s="121"/>
      <c r="EW133" s="121"/>
      <c r="EX133" s="121"/>
      <c r="EY133" s="121"/>
      <c r="EZ133" s="121"/>
      <c r="FA133" s="121"/>
      <c r="FB133" s="121"/>
      <c r="FC133" s="121"/>
      <c r="FD133" s="121"/>
      <c r="FE133" s="121"/>
      <c r="FF133" s="121"/>
      <c r="FG133" s="121"/>
      <c r="FH133" s="121"/>
      <c r="FI133" s="121"/>
      <c r="FJ133" s="121"/>
      <c r="FK133" s="121"/>
      <c r="FL133" s="121"/>
      <c r="FM133" s="121"/>
      <c r="FN133" s="121"/>
      <c r="FO133" s="121"/>
      <c r="FP133" s="121"/>
      <c r="FQ133" s="121"/>
      <c r="FR133" s="121"/>
      <c r="FS133" s="121"/>
      <c r="FT133" s="121"/>
      <c r="FU133" s="121"/>
      <c r="FV133" s="121"/>
      <c r="FW133" s="121"/>
      <c r="FX133" s="121"/>
      <c r="FY133" s="121"/>
      <c r="FZ133" s="121"/>
      <c r="GA133" s="121"/>
      <c r="GB133" s="121"/>
      <c r="GC133" s="121"/>
      <c r="GD133" s="121"/>
      <c r="GE133" s="121"/>
      <c r="GF133" s="121"/>
      <c r="GG133" s="121"/>
      <c r="GH133" s="121"/>
      <c r="GI133" s="121"/>
      <c r="GJ133" s="121"/>
      <c r="GK133" s="121"/>
      <c r="GL133" s="121"/>
      <c r="GM133" s="121"/>
      <c r="GN133" s="121"/>
      <c r="GO133" s="121"/>
      <c r="GP133" s="121"/>
      <c r="GQ133" s="121"/>
      <c r="GR133" s="121"/>
      <c r="GS133" s="121"/>
      <c r="GT133" s="121"/>
      <c r="GU133" s="121"/>
      <c r="GV133" s="121"/>
      <c r="GW133" s="121"/>
      <c r="GX133" s="121"/>
      <c r="GY133" s="121"/>
      <c r="GZ133" s="121"/>
      <c r="HA133" s="121"/>
      <c r="HB133" s="121"/>
      <c r="HC133" s="121"/>
      <c r="HD133" s="121"/>
      <c r="HE133" s="121"/>
      <c r="HF133" s="121"/>
      <c r="HG133" s="121"/>
      <c r="HH133" s="121"/>
      <c r="HI133" s="121"/>
      <c r="HJ133" s="121"/>
      <c r="HK133" s="121"/>
      <c r="HL133" s="121"/>
      <c r="HM133" s="121"/>
      <c r="HN133" s="121"/>
      <c r="HO133" s="121"/>
      <c r="HP133" s="121"/>
      <c r="HQ133" s="121"/>
      <c r="HR133" s="121"/>
      <c r="HS133" s="121"/>
      <c r="HT133" s="121"/>
      <c r="HU133" s="121"/>
      <c r="HV133" s="121"/>
      <c r="HW133" s="121"/>
      <c r="HX133" s="121"/>
      <c r="HY133" s="121"/>
      <c r="HZ133" s="121"/>
      <c r="IA133" s="121"/>
      <c r="IB133" s="120"/>
    </row>
    <row r="134" spans="3:236" ht="3.75" customHeight="1">
      <c r="C134" s="140"/>
      <c r="D134" s="141"/>
      <c r="E134" s="148"/>
      <c r="F134" s="149"/>
      <c r="G134" s="149"/>
      <c r="H134" s="149"/>
      <c r="I134" s="149"/>
      <c r="J134" s="149"/>
      <c r="K134" s="149"/>
      <c r="L134" s="149"/>
      <c r="M134" s="149"/>
      <c r="N134" s="149"/>
      <c r="O134" s="121"/>
      <c r="P134" s="121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  <c r="AM134" s="159"/>
      <c r="AN134" s="159"/>
      <c r="AO134" s="159"/>
      <c r="AP134" s="159"/>
      <c r="AQ134" s="159"/>
      <c r="AR134" s="159"/>
      <c r="AS134" s="159"/>
      <c r="AT134" s="159"/>
      <c r="AU134" s="159"/>
      <c r="AV134" s="159"/>
      <c r="AW134" s="159"/>
      <c r="AX134" s="159"/>
      <c r="AY134" s="141"/>
      <c r="AZ134" s="142"/>
      <c r="BC134" s="116"/>
      <c r="BD134" s="121"/>
      <c r="BE134" s="121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21"/>
      <c r="CM134" s="121"/>
      <c r="CN134" s="121"/>
      <c r="CO134" s="121"/>
      <c r="CP134" s="121"/>
      <c r="CQ134" s="121"/>
      <c r="CR134" s="121"/>
      <c r="CS134" s="121"/>
      <c r="CT134" s="121"/>
      <c r="CU134" s="121"/>
      <c r="CV134" s="121"/>
      <c r="CW134" s="121"/>
      <c r="CX134" s="121"/>
      <c r="CY134" s="121"/>
      <c r="CZ134" s="121"/>
      <c r="DA134" s="121"/>
      <c r="DB134" s="121"/>
      <c r="DC134" s="121"/>
      <c r="DD134" s="121"/>
      <c r="DE134" s="121"/>
      <c r="DF134" s="121"/>
      <c r="DG134" s="121"/>
      <c r="DH134" s="121"/>
      <c r="DI134" s="121"/>
      <c r="DJ134" s="121"/>
      <c r="DK134" s="121"/>
      <c r="DL134" s="121"/>
      <c r="DM134" s="121"/>
      <c r="DN134" s="121"/>
      <c r="DO134" s="121"/>
      <c r="DP134" s="121"/>
      <c r="DQ134" s="121"/>
      <c r="DR134" s="121"/>
      <c r="DS134" s="121"/>
      <c r="DT134" s="121"/>
      <c r="DU134" s="121"/>
      <c r="DV134" s="121"/>
      <c r="DW134" s="121"/>
      <c r="DX134" s="121"/>
      <c r="DY134" s="121"/>
      <c r="DZ134" s="121"/>
      <c r="EA134" s="121"/>
      <c r="EB134" s="121"/>
      <c r="EC134" s="121"/>
      <c r="ED134" s="121"/>
      <c r="EE134" s="121"/>
      <c r="EF134" s="121"/>
      <c r="EG134" s="121"/>
      <c r="EH134" s="121"/>
      <c r="EI134" s="121"/>
      <c r="EJ134" s="121"/>
      <c r="EK134" s="121"/>
      <c r="EL134" s="121"/>
      <c r="EM134" s="120"/>
      <c r="EP134" s="116"/>
      <c r="EQ134" s="121"/>
      <c r="ER134" s="121"/>
      <c r="ES134" s="121"/>
      <c r="ET134" s="121"/>
      <c r="EU134" s="121"/>
      <c r="EV134" s="121"/>
      <c r="EW134" s="121"/>
      <c r="EX134" s="121"/>
      <c r="EY134" s="121"/>
      <c r="EZ134" s="121"/>
      <c r="FA134" s="121"/>
      <c r="FB134" s="121"/>
      <c r="FC134" s="121"/>
      <c r="FD134" s="121"/>
      <c r="FE134" s="121"/>
      <c r="FF134" s="121"/>
      <c r="FG134" s="121"/>
      <c r="FH134" s="121"/>
      <c r="FI134" s="121"/>
      <c r="FJ134" s="121"/>
      <c r="FK134" s="121"/>
      <c r="FL134" s="121"/>
      <c r="FM134" s="121"/>
      <c r="FN134" s="121"/>
      <c r="FO134" s="121"/>
      <c r="FP134" s="121"/>
      <c r="FQ134" s="121"/>
      <c r="FR134" s="121"/>
      <c r="FS134" s="121"/>
      <c r="FT134" s="121"/>
      <c r="FU134" s="121"/>
      <c r="FV134" s="121"/>
      <c r="FW134" s="121"/>
      <c r="FX134" s="121"/>
      <c r="FY134" s="121"/>
      <c r="FZ134" s="121"/>
      <c r="GA134" s="121"/>
      <c r="GB134" s="121"/>
      <c r="GC134" s="121"/>
      <c r="GD134" s="121"/>
      <c r="GE134" s="121"/>
      <c r="GF134" s="121"/>
      <c r="GG134" s="121"/>
      <c r="GH134" s="121"/>
      <c r="GI134" s="121"/>
      <c r="GJ134" s="121"/>
      <c r="GK134" s="121"/>
      <c r="GL134" s="121"/>
      <c r="GM134" s="121"/>
      <c r="GN134" s="121"/>
      <c r="GO134" s="121"/>
      <c r="GP134" s="121"/>
      <c r="GQ134" s="121"/>
      <c r="GR134" s="121"/>
      <c r="GS134" s="121"/>
      <c r="GT134" s="121"/>
      <c r="GU134" s="121"/>
      <c r="GV134" s="121"/>
      <c r="GW134" s="121"/>
      <c r="GX134" s="121"/>
      <c r="GY134" s="121"/>
      <c r="GZ134" s="121"/>
      <c r="HA134" s="121"/>
      <c r="HB134" s="121"/>
      <c r="HC134" s="121"/>
      <c r="HD134" s="121"/>
      <c r="HE134" s="121"/>
      <c r="HF134" s="121"/>
      <c r="HG134" s="121"/>
      <c r="HH134" s="121"/>
      <c r="HI134" s="121"/>
      <c r="HJ134" s="121"/>
      <c r="HK134" s="121"/>
      <c r="HL134" s="121"/>
      <c r="HM134" s="121"/>
      <c r="HN134" s="121"/>
      <c r="HO134" s="121"/>
      <c r="HP134" s="121"/>
      <c r="HQ134" s="121"/>
      <c r="HR134" s="121"/>
      <c r="HS134" s="121"/>
      <c r="HT134" s="121"/>
      <c r="HU134" s="121"/>
      <c r="HV134" s="121"/>
      <c r="HW134" s="121"/>
      <c r="HX134" s="121"/>
      <c r="HY134" s="121"/>
      <c r="HZ134" s="121"/>
      <c r="IA134" s="121"/>
      <c r="IB134" s="120"/>
    </row>
    <row r="135" spans="3:236" ht="3.75" customHeight="1">
      <c r="C135" s="140"/>
      <c r="D135" s="141"/>
      <c r="E135" s="148"/>
      <c r="F135" s="149"/>
      <c r="G135" s="149"/>
      <c r="H135" s="149"/>
      <c r="I135" s="149"/>
      <c r="J135" s="149"/>
      <c r="K135" s="149"/>
      <c r="L135" s="149"/>
      <c r="M135" s="149"/>
      <c r="N135" s="149"/>
      <c r="O135" s="121"/>
      <c r="P135" s="121"/>
      <c r="Q135" s="150" t="s">
        <v>1067</v>
      </c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0"/>
      <c r="AK135" s="150"/>
      <c r="AL135" s="150"/>
      <c r="AM135" s="150"/>
      <c r="AN135" s="150"/>
      <c r="AO135" s="150"/>
      <c r="AP135" s="150"/>
      <c r="AQ135" s="150"/>
      <c r="AR135" s="150"/>
      <c r="AS135" s="150"/>
      <c r="AT135" s="150"/>
      <c r="AU135" s="150"/>
      <c r="AV135" s="150"/>
      <c r="AW135" s="150"/>
      <c r="AX135" s="150"/>
      <c r="AY135" s="141"/>
      <c r="AZ135" s="142"/>
      <c r="BC135" s="116"/>
      <c r="BD135" s="121"/>
      <c r="BE135" s="121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1"/>
      <c r="CT135" s="121"/>
      <c r="CU135" s="121"/>
      <c r="CV135" s="121"/>
      <c r="CW135" s="121"/>
      <c r="CX135" s="121"/>
      <c r="CY135" s="121"/>
      <c r="CZ135" s="121"/>
      <c r="DA135" s="121"/>
      <c r="DB135" s="121"/>
      <c r="DC135" s="121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1"/>
      <c r="EC135" s="121"/>
      <c r="ED135" s="121"/>
      <c r="EE135" s="121"/>
      <c r="EF135" s="121"/>
      <c r="EG135" s="121"/>
      <c r="EH135" s="121"/>
      <c r="EI135" s="121"/>
      <c r="EJ135" s="121"/>
      <c r="EK135" s="121"/>
      <c r="EL135" s="121"/>
      <c r="EM135" s="120"/>
      <c r="EP135" s="116"/>
      <c r="EQ135" s="121"/>
      <c r="ER135" s="121"/>
      <c r="ES135" s="121"/>
      <c r="ET135" s="121"/>
      <c r="EU135" s="121"/>
      <c r="EV135" s="121"/>
      <c r="EW135" s="121"/>
      <c r="EX135" s="121"/>
      <c r="EY135" s="121"/>
      <c r="EZ135" s="121"/>
      <c r="FA135" s="121"/>
      <c r="FB135" s="121"/>
      <c r="FC135" s="121"/>
      <c r="FD135" s="121"/>
      <c r="FE135" s="121"/>
      <c r="FF135" s="121"/>
      <c r="FG135" s="121"/>
      <c r="FH135" s="121"/>
      <c r="FI135" s="121"/>
      <c r="FJ135" s="121"/>
      <c r="FK135" s="121"/>
      <c r="FL135" s="121"/>
      <c r="FM135" s="121"/>
      <c r="FN135" s="121"/>
      <c r="FO135" s="121"/>
      <c r="FP135" s="121"/>
      <c r="FQ135" s="121"/>
      <c r="FR135" s="121"/>
      <c r="FS135" s="121"/>
      <c r="FT135" s="121"/>
      <c r="FU135" s="121"/>
      <c r="FV135" s="121"/>
      <c r="FW135" s="121"/>
      <c r="FX135" s="121"/>
      <c r="FY135" s="121"/>
      <c r="FZ135" s="121"/>
      <c r="GA135" s="121"/>
      <c r="GB135" s="121"/>
      <c r="GC135" s="121"/>
      <c r="GD135" s="121"/>
      <c r="GE135" s="121"/>
      <c r="GF135" s="121"/>
      <c r="GG135" s="121"/>
      <c r="GH135" s="121"/>
      <c r="GI135" s="121"/>
      <c r="GJ135" s="121"/>
      <c r="GK135" s="121"/>
      <c r="GL135" s="121"/>
      <c r="GM135" s="121"/>
      <c r="GN135" s="121"/>
      <c r="GO135" s="121"/>
      <c r="GP135" s="121"/>
      <c r="GQ135" s="121"/>
      <c r="GR135" s="121"/>
      <c r="GS135" s="121"/>
      <c r="GT135" s="121"/>
      <c r="GU135" s="121"/>
      <c r="GV135" s="121"/>
      <c r="GW135" s="121"/>
      <c r="GX135" s="121"/>
      <c r="GY135" s="121"/>
      <c r="GZ135" s="121"/>
      <c r="HA135" s="121"/>
      <c r="HB135" s="121"/>
      <c r="HC135" s="121"/>
      <c r="HD135" s="121"/>
      <c r="HE135" s="121"/>
      <c r="HF135" s="121"/>
      <c r="HG135" s="121"/>
      <c r="HH135" s="121"/>
      <c r="HI135" s="121"/>
      <c r="HJ135" s="121"/>
      <c r="HK135" s="121"/>
      <c r="HL135" s="121"/>
      <c r="HM135" s="121"/>
      <c r="HN135" s="121"/>
      <c r="HO135" s="121"/>
      <c r="HP135" s="121"/>
      <c r="HQ135" s="121"/>
      <c r="HR135" s="121"/>
      <c r="HS135" s="121"/>
      <c r="HT135" s="121"/>
      <c r="HU135" s="121"/>
      <c r="HV135" s="121"/>
      <c r="HW135" s="121"/>
      <c r="HX135" s="121"/>
      <c r="HY135" s="121"/>
      <c r="HZ135" s="121"/>
      <c r="IA135" s="121"/>
      <c r="IB135" s="120"/>
    </row>
    <row r="136" spans="3:236" ht="3.75" customHeight="1">
      <c r="C136" s="140"/>
      <c r="D136" s="141"/>
      <c r="E136" s="148"/>
      <c r="F136" s="149"/>
      <c r="G136" s="149"/>
      <c r="H136" s="149"/>
      <c r="I136" s="149"/>
      <c r="J136" s="149"/>
      <c r="K136" s="149"/>
      <c r="L136" s="149"/>
      <c r="M136" s="149"/>
      <c r="N136" s="149"/>
      <c r="O136" s="121"/>
      <c r="P136" s="121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150"/>
      <c r="AI136" s="150"/>
      <c r="AJ136" s="150"/>
      <c r="AK136" s="150"/>
      <c r="AL136" s="150"/>
      <c r="AM136" s="150"/>
      <c r="AN136" s="150"/>
      <c r="AO136" s="150"/>
      <c r="AP136" s="150"/>
      <c r="AQ136" s="150"/>
      <c r="AR136" s="150"/>
      <c r="AS136" s="150"/>
      <c r="AT136" s="150"/>
      <c r="AU136" s="150"/>
      <c r="AV136" s="150"/>
      <c r="AW136" s="150"/>
      <c r="AX136" s="150"/>
      <c r="AY136" s="141"/>
      <c r="AZ136" s="142"/>
      <c r="BC136" s="116"/>
      <c r="BD136" s="121"/>
      <c r="BE136" s="121"/>
      <c r="BF136" s="121"/>
      <c r="BG136" s="121"/>
      <c r="BH136" s="121"/>
      <c r="BI136" s="121"/>
      <c r="BJ136" s="121"/>
      <c r="BK136" s="121"/>
      <c r="BL136" s="121"/>
      <c r="BM136" s="121"/>
      <c r="BN136" s="121"/>
      <c r="BO136" s="121"/>
      <c r="BP136" s="121"/>
      <c r="BQ136" s="121"/>
      <c r="BR136" s="121"/>
      <c r="BS136" s="121"/>
      <c r="BT136" s="121"/>
      <c r="BU136" s="121"/>
      <c r="BV136" s="121"/>
      <c r="BW136" s="121"/>
      <c r="BX136" s="121"/>
      <c r="BY136" s="121"/>
      <c r="BZ136" s="121"/>
      <c r="CA136" s="121"/>
      <c r="CB136" s="121"/>
      <c r="CC136" s="121"/>
      <c r="CD136" s="121"/>
      <c r="CE136" s="121"/>
      <c r="CF136" s="121"/>
      <c r="CG136" s="121"/>
      <c r="CH136" s="121"/>
      <c r="CI136" s="121"/>
      <c r="CJ136" s="121"/>
      <c r="CK136" s="121"/>
      <c r="CL136" s="121"/>
      <c r="CM136" s="121"/>
      <c r="CN136" s="121"/>
      <c r="CO136" s="121"/>
      <c r="CP136" s="121"/>
      <c r="CQ136" s="121"/>
      <c r="CR136" s="121"/>
      <c r="CS136" s="121"/>
      <c r="CT136" s="121"/>
      <c r="CU136" s="121"/>
      <c r="CV136" s="121"/>
      <c r="CW136" s="121"/>
      <c r="CX136" s="121"/>
      <c r="CY136" s="121"/>
      <c r="CZ136" s="121"/>
      <c r="DA136" s="121"/>
      <c r="DB136" s="121"/>
      <c r="DC136" s="121"/>
      <c r="DD136" s="121"/>
      <c r="DE136" s="121"/>
      <c r="DF136" s="121"/>
      <c r="DG136" s="121"/>
      <c r="DH136" s="121"/>
      <c r="DI136" s="121"/>
      <c r="DJ136" s="121"/>
      <c r="DK136" s="121"/>
      <c r="DL136" s="121"/>
      <c r="DM136" s="121"/>
      <c r="DN136" s="121"/>
      <c r="DO136" s="121"/>
      <c r="DP136" s="121"/>
      <c r="DQ136" s="121"/>
      <c r="DR136" s="121"/>
      <c r="DS136" s="121"/>
      <c r="DT136" s="121"/>
      <c r="DU136" s="121"/>
      <c r="DV136" s="121"/>
      <c r="DW136" s="121"/>
      <c r="DX136" s="121"/>
      <c r="DY136" s="121"/>
      <c r="DZ136" s="121"/>
      <c r="EA136" s="121"/>
      <c r="EB136" s="121"/>
      <c r="EC136" s="121"/>
      <c r="ED136" s="121"/>
      <c r="EE136" s="121"/>
      <c r="EF136" s="121"/>
      <c r="EG136" s="121"/>
      <c r="EH136" s="121"/>
      <c r="EI136" s="121"/>
      <c r="EJ136" s="121"/>
      <c r="EK136" s="121"/>
      <c r="EL136" s="121"/>
      <c r="EM136" s="120"/>
      <c r="EP136" s="116"/>
      <c r="EQ136" s="121"/>
      <c r="ER136" s="121"/>
      <c r="ES136" s="121"/>
      <c r="ET136" s="121"/>
      <c r="EU136" s="121"/>
      <c r="EV136" s="121"/>
      <c r="EW136" s="121"/>
      <c r="EX136" s="121"/>
      <c r="EY136" s="121"/>
      <c r="EZ136" s="121"/>
      <c r="FA136" s="121"/>
      <c r="FB136" s="121"/>
      <c r="FC136" s="121"/>
      <c r="FD136" s="121"/>
      <c r="FE136" s="121"/>
      <c r="FF136" s="121"/>
      <c r="FG136" s="121"/>
      <c r="FH136" s="121"/>
      <c r="FI136" s="121"/>
      <c r="FJ136" s="121"/>
      <c r="FK136" s="121"/>
      <c r="FL136" s="121"/>
      <c r="FM136" s="121"/>
      <c r="FN136" s="121"/>
      <c r="FO136" s="121"/>
      <c r="FP136" s="121"/>
      <c r="FQ136" s="121"/>
      <c r="FR136" s="121"/>
      <c r="FS136" s="121"/>
      <c r="FT136" s="121"/>
      <c r="FU136" s="121"/>
      <c r="FV136" s="121"/>
      <c r="FW136" s="121"/>
      <c r="FX136" s="121"/>
      <c r="FY136" s="121"/>
      <c r="FZ136" s="121"/>
      <c r="GA136" s="121"/>
      <c r="GB136" s="121"/>
      <c r="GC136" s="121"/>
      <c r="GD136" s="121"/>
      <c r="GE136" s="121"/>
      <c r="GF136" s="121"/>
      <c r="GG136" s="121"/>
      <c r="GH136" s="121"/>
      <c r="GI136" s="121"/>
      <c r="GJ136" s="121"/>
      <c r="GK136" s="121"/>
      <c r="GL136" s="121"/>
      <c r="GM136" s="121"/>
      <c r="GN136" s="121"/>
      <c r="GO136" s="121"/>
      <c r="GP136" s="121"/>
      <c r="GQ136" s="121"/>
      <c r="GR136" s="121"/>
      <c r="GS136" s="121"/>
      <c r="GT136" s="121"/>
      <c r="GU136" s="121"/>
      <c r="GV136" s="121"/>
      <c r="GW136" s="121"/>
      <c r="GX136" s="121"/>
      <c r="GY136" s="121"/>
      <c r="GZ136" s="121"/>
      <c r="HA136" s="121"/>
      <c r="HB136" s="121"/>
      <c r="HC136" s="121"/>
      <c r="HD136" s="121"/>
      <c r="HE136" s="121"/>
      <c r="HF136" s="121"/>
      <c r="HG136" s="121"/>
      <c r="HH136" s="121"/>
      <c r="HI136" s="121"/>
      <c r="HJ136" s="121"/>
      <c r="HK136" s="121"/>
      <c r="HL136" s="121"/>
      <c r="HM136" s="121"/>
      <c r="HN136" s="121"/>
      <c r="HO136" s="121"/>
      <c r="HP136" s="121"/>
      <c r="HQ136" s="121"/>
      <c r="HR136" s="121"/>
      <c r="HS136" s="121"/>
      <c r="HT136" s="121"/>
      <c r="HU136" s="121"/>
      <c r="HV136" s="121"/>
      <c r="HW136" s="121"/>
      <c r="HX136" s="121"/>
      <c r="HY136" s="121"/>
      <c r="HZ136" s="121"/>
      <c r="IA136" s="121"/>
      <c r="IB136" s="120"/>
    </row>
    <row r="137" spans="3:236" ht="3.75" customHeight="1">
      <c r="C137" s="140"/>
      <c r="D137" s="141"/>
      <c r="E137" s="148"/>
      <c r="F137" s="149"/>
      <c r="G137" s="149"/>
      <c r="H137" s="149"/>
      <c r="I137" s="149"/>
      <c r="J137" s="149"/>
      <c r="K137" s="149"/>
      <c r="L137" s="149"/>
      <c r="M137" s="149"/>
      <c r="N137" s="149"/>
      <c r="O137" s="121"/>
      <c r="P137" s="121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0"/>
      <c r="AK137" s="150"/>
      <c r="AL137" s="150"/>
      <c r="AM137" s="150"/>
      <c r="AN137" s="150"/>
      <c r="AO137" s="150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41"/>
      <c r="AZ137" s="142"/>
      <c r="BC137" s="116"/>
      <c r="BD137" s="121"/>
      <c r="BE137" s="121"/>
      <c r="BF137" s="121"/>
      <c r="BG137" s="121"/>
      <c r="BH137" s="121"/>
      <c r="BI137" s="121"/>
      <c r="BJ137" s="121"/>
      <c r="BK137" s="121"/>
      <c r="BL137" s="121"/>
      <c r="BM137" s="121"/>
      <c r="BN137" s="121"/>
      <c r="BO137" s="121"/>
      <c r="BP137" s="121"/>
      <c r="BQ137" s="121"/>
      <c r="BR137" s="121"/>
      <c r="BS137" s="121"/>
      <c r="BT137" s="121"/>
      <c r="BU137" s="121"/>
      <c r="BV137" s="121"/>
      <c r="BW137" s="121"/>
      <c r="BX137" s="121"/>
      <c r="BY137" s="121"/>
      <c r="BZ137" s="121"/>
      <c r="CA137" s="121"/>
      <c r="CB137" s="121"/>
      <c r="CC137" s="121"/>
      <c r="CD137" s="121"/>
      <c r="CE137" s="121"/>
      <c r="CF137" s="121"/>
      <c r="CG137" s="121"/>
      <c r="CH137" s="121"/>
      <c r="CI137" s="121"/>
      <c r="CJ137" s="121"/>
      <c r="CK137" s="121"/>
      <c r="CL137" s="121"/>
      <c r="CM137" s="121"/>
      <c r="CN137" s="121"/>
      <c r="CO137" s="121"/>
      <c r="CP137" s="121"/>
      <c r="CQ137" s="121"/>
      <c r="CR137" s="121"/>
      <c r="CS137" s="121"/>
      <c r="CT137" s="121"/>
      <c r="CU137" s="121"/>
      <c r="CV137" s="121"/>
      <c r="CW137" s="121"/>
      <c r="CX137" s="121"/>
      <c r="CY137" s="121"/>
      <c r="CZ137" s="121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1"/>
      <c r="DL137" s="121"/>
      <c r="DM137" s="121"/>
      <c r="DN137" s="121"/>
      <c r="DO137" s="121"/>
      <c r="DP137" s="121"/>
      <c r="DQ137" s="121"/>
      <c r="DR137" s="121"/>
      <c r="DS137" s="121"/>
      <c r="DT137" s="121"/>
      <c r="DU137" s="121"/>
      <c r="DV137" s="121"/>
      <c r="DW137" s="121"/>
      <c r="DX137" s="121"/>
      <c r="DY137" s="121"/>
      <c r="DZ137" s="121"/>
      <c r="EA137" s="121"/>
      <c r="EB137" s="121"/>
      <c r="EC137" s="121"/>
      <c r="ED137" s="121"/>
      <c r="EE137" s="121"/>
      <c r="EF137" s="121"/>
      <c r="EG137" s="121"/>
      <c r="EH137" s="121"/>
      <c r="EI137" s="121"/>
      <c r="EJ137" s="121"/>
      <c r="EK137" s="121"/>
      <c r="EL137" s="121"/>
      <c r="EM137" s="120"/>
      <c r="EP137" s="116"/>
      <c r="EQ137" s="121"/>
      <c r="ER137" s="121"/>
      <c r="ES137" s="121"/>
      <c r="ET137" s="121"/>
      <c r="EU137" s="121"/>
      <c r="EV137" s="121"/>
      <c r="EW137" s="121"/>
      <c r="EX137" s="121"/>
      <c r="EY137" s="121"/>
      <c r="EZ137" s="121"/>
      <c r="FA137" s="121"/>
      <c r="FB137" s="121"/>
      <c r="FC137" s="121"/>
      <c r="FD137" s="121"/>
      <c r="FE137" s="121"/>
      <c r="FF137" s="121"/>
      <c r="FG137" s="121"/>
      <c r="FH137" s="121"/>
      <c r="FI137" s="121"/>
      <c r="FJ137" s="121"/>
      <c r="FK137" s="121"/>
      <c r="FL137" s="121"/>
      <c r="FM137" s="121"/>
      <c r="FN137" s="121"/>
      <c r="FO137" s="121"/>
      <c r="FP137" s="121"/>
      <c r="FQ137" s="121"/>
      <c r="FR137" s="121"/>
      <c r="FS137" s="121"/>
      <c r="FT137" s="121"/>
      <c r="FU137" s="121"/>
      <c r="FV137" s="121"/>
      <c r="FW137" s="121"/>
      <c r="FX137" s="121"/>
      <c r="FY137" s="121"/>
      <c r="FZ137" s="121"/>
      <c r="GA137" s="121"/>
      <c r="GB137" s="121"/>
      <c r="GC137" s="121"/>
      <c r="GD137" s="121"/>
      <c r="GE137" s="121"/>
      <c r="GF137" s="121"/>
      <c r="GG137" s="121"/>
      <c r="GH137" s="121"/>
      <c r="GI137" s="121"/>
      <c r="GJ137" s="121"/>
      <c r="GK137" s="121"/>
      <c r="GL137" s="121"/>
      <c r="GM137" s="121"/>
      <c r="GN137" s="121"/>
      <c r="GO137" s="121"/>
      <c r="GP137" s="121"/>
      <c r="GQ137" s="121"/>
      <c r="GR137" s="121"/>
      <c r="GS137" s="121"/>
      <c r="GT137" s="121"/>
      <c r="GU137" s="121"/>
      <c r="GV137" s="121"/>
      <c r="GW137" s="121"/>
      <c r="GX137" s="121"/>
      <c r="GY137" s="121"/>
      <c r="GZ137" s="121"/>
      <c r="HA137" s="121"/>
      <c r="HB137" s="121"/>
      <c r="HC137" s="121"/>
      <c r="HD137" s="121"/>
      <c r="HE137" s="121"/>
      <c r="HF137" s="121"/>
      <c r="HG137" s="121"/>
      <c r="HH137" s="121"/>
      <c r="HI137" s="121"/>
      <c r="HJ137" s="121"/>
      <c r="HK137" s="121"/>
      <c r="HL137" s="121"/>
      <c r="HM137" s="121"/>
      <c r="HN137" s="121"/>
      <c r="HO137" s="121"/>
      <c r="HP137" s="121"/>
      <c r="HQ137" s="121"/>
      <c r="HR137" s="121"/>
      <c r="HS137" s="121"/>
      <c r="HT137" s="121"/>
      <c r="HU137" s="121"/>
      <c r="HV137" s="121"/>
      <c r="HW137" s="121"/>
      <c r="HX137" s="121"/>
      <c r="HY137" s="121"/>
      <c r="HZ137" s="121"/>
      <c r="IA137" s="121"/>
      <c r="IB137" s="120"/>
    </row>
    <row r="138" spans="3:236" ht="3.75" customHeight="1">
      <c r="C138" s="140"/>
      <c r="D138" s="141"/>
      <c r="E138" s="148"/>
      <c r="F138" s="149"/>
      <c r="G138" s="149"/>
      <c r="H138" s="149"/>
      <c r="I138" s="149"/>
      <c r="J138" s="149"/>
      <c r="K138" s="149"/>
      <c r="L138" s="149"/>
      <c r="M138" s="149"/>
      <c r="N138" s="149"/>
      <c r="O138" s="121"/>
      <c r="P138" s="121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50"/>
      <c r="AG138" s="150"/>
      <c r="AH138" s="150"/>
      <c r="AI138" s="150"/>
      <c r="AJ138" s="150"/>
      <c r="AK138" s="150"/>
      <c r="AL138" s="150"/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41"/>
      <c r="AZ138" s="142"/>
      <c r="BC138" s="116"/>
      <c r="BD138" s="121"/>
      <c r="BE138" s="121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1"/>
      <c r="CI138" s="121"/>
      <c r="CJ138" s="121"/>
      <c r="CK138" s="121"/>
      <c r="CL138" s="121"/>
      <c r="CM138" s="121"/>
      <c r="CN138" s="121"/>
      <c r="CO138" s="121"/>
      <c r="CP138" s="121"/>
      <c r="CQ138" s="121"/>
      <c r="CR138" s="121"/>
      <c r="CS138" s="121"/>
      <c r="CT138" s="121"/>
      <c r="CU138" s="121"/>
      <c r="CV138" s="121"/>
      <c r="CW138" s="121"/>
      <c r="CX138" s="121"/>
      <c r="CY138" s="121"/>
      <c r="CZ138" s="121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1"/>
      <c r="DL138" s="121"/>
      <c r="DM138" s="121"/>
      <c r="DN138" s="121"/>
      <c r="DO138" s="121"/>
      <c r="DP138" s="121"/>
      <c r="DQ138" s="121"/>
      <c r="DR138" s="121"/>
      <c r="DS138" s="121"/>
      <c r="DT138" s="121"/>
      <c r="DU138" s="121"/>
      <c r="DV138" s="121"/>
      <c r="DW138" s="121"/>
      <c r="DX138" s="121"/>
      <c r="DY138" s="121"/>
      <c r="DZ138" s="121"/>
      <c r="EA138" s="121"/>
      <c r="EB138" s="121"/>
      <c r="EC138" s="121"/>
      <c r="ED138" s="121"/>
      <c r="EE138" s="121"/>
      <c r="EF138" s="121"/>
      <c r="EG138" s="121"/>
      <c r="EH138" s="121"/>
      <c r="EI138" s="121"/>
      <c r="EJ138" s="121"/>
      <c r="EK138" s="121"/>
      <c r="EL138" s="121"/>
      <c r="EM138" s="120"/>
      <c r="EP138" s="116"/>
      <c r="EQ138" s="121"/>
      <c r="ER138" s="121"/>
      <c r="ES138" s="121"/>
      <c r="ET138" s="121"/>
      <c r="EU138" s="121"/>
      <c r="EV138" s="121"/>
      <c r="EW138" s="121"/>
      <c r="EX138" s="121"/>
      <c r="EY138" s="121"/>
      <c r="EZ138" s="121"/>
      <c r="FA138" s="121"/>
      <c r="FB138" s="121"/>
      <c r="FC138" s="121"/>
      <c r="FD138" s="121"/>
      <c r="FE138" s="121"/>
      <c r="FF138" s="121"/>
      <c r="FG138" s="121"/>
      <c r="FH138" s="121"/>
      <c r="FI138" s="121"/>
      <c r="FJ138" s="121"/>
      <c r="FK138" s="121"/>
      <c r="FL138" s="121"/>
      <c r="FM138" s="121"/>
      <c r="FN138" s="121"/>
      <c r="FO138" s="121"/>
      <c r="FP138" s="121"/>
      <c r="FQ138" s="121"/>
      <c r="FR138" s="121"/>
      <c r="FS138" s="121"/>
      <c r="FT138" s="121"/>
      <c r="FU138" s="121"/>
      <c r="FV138" s="121"/>
      <c r="FW138" s="121"/>
      <c r="FX138" s="121"/>
      <c r="FY138" s="121"/>
      <c r="FZ138" s="121"/>
      <c r="GA138" s="121"/>
      <c r="GB138" s="121"/>
      <c r="GC138" s="121"/>
      <c r="GD138" s="121"/>
      <c r="GE138" s="121"/>
      <c r="GF138" s="121"/>
      <c r="GG138" s="121"/>
      <c r="GH138" s="121"/>
      <c r="GI138" s="121"/>
      <c r="GJ138" s="121"/>
      <c r="GK138" s="121"/>
      <c r="GL138" s="121"/>
      <c r="GM138" s="121"/>
      <c r="GN138" s="121"/>
      <c r="GO138" s="121"/>
      <c r="GP138" s="121"/>
      <c r="GQ138" s="121"/>
      <c r="GR138" s="121"/>
      <c r="GS138" s="121"/>
      <c r="GT138" s="121"/>
      <c r="GU138" s="121"/>
      <c r="GV138" s="121"/>
      <c r="GW138" s="121"/>
      <c r="GX138" s="121"/>
      <c r="GY138" s="121"/>
      <c r="GZ138" s="121"/>
      <c r="HA138" s="121"/>
      <c r="HB138" s="121"/>
      <c r="HC138" s="121"/>
      <c r="HD138" s="121"/>
      <c r="HE138" s="121"/>
      <c r="HF138" s="121"/>
      <c r="HG138" s="121"/>
      <c r="HH138" s="121"/>
      <c r="HI138" s="121"/>
      <c r="HJ138" s="121"/>
      <c r="HK138" s="121"/>
      <c r="HL138" s="121"/>
      <c r="HM138" s="121"/>
      <c r="HN138" s="121"/>
      <c r="HO138" s="121"/>
      <c r="HP138" s="121"/>
      <c r="HQ138" s="121"/>
      <c r="HR138" s="121"/>
      <c r="HS138" s="121"/>
      <c r="HT138" s="121"/>
      <c r="HU138" s="121"/>
      <c r="HV138" s="121"/>
      <c r="HW138" s="121"/>
      <c r="HX138" s="121"/>
      <c r="HY138" s="121"/>
      <c r="HZ138" s="121"/>
      <c r="IA138" s="121"/>
      <c r="IB138" s="120"/>
    </row>
    <row r="139" spans="3:236" ht="3.75" customHeight="1">
      <c r="C139" s="140"/>
      <c r="D139" s="141"/>
      <c r="E139" s="148"/>
      <c r="F139" s="149"/>
      <c r="G139" s="149"/>
      <c r="H139" s="149"/>
      <c r="I139" s="149"/>
      <c r="J139" s="149"/>
      <c r="K139" s="149"/>
      <c r="L139" s="149"/>
      <c r="M139" s="149"/>
      <c r="N139" s="149"/>
      <c r="O139" s="121"/>
      <c r="P139" s="121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150"/>
      <c r="AJ139" s="150"/>
      <c r="AK139" s="150"/>
      <c r="AL139" s="150"/>
      <c r="AM139" s="150"/>
      <c r="AN139" s="150"/>
      <c r="AO139" s="150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41"/>
      <c r="AZ139" s="142"/>
      <c r="BC139" s="116"/>
      <c r="BD139" s="121"/>
      <c r="BE139" s="121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1"/>
      <c r="CT139" s="121"/>
      <c r="CU139" s="121"/>
      <c r="CV139" s="121"/>
      <c r="CW139" s="121"/>
      <c r="CX139" s="121"/>
      <c r="CY139" s="121"/>
      <c r="CZ139" s="121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1"/>
      <c r="DL139" s="121"/>
      <c r="DM139" s="121"/>
      <c r="DN139" s="121"/>
      <c r="DO139" s="121"/>
      <c r="DP139" s="121"/>
      <c r="DQ139" s="121"/>
      <c r="DR139" s="121"/>
      <c r="DS139" s="121"/>
      <c r="DT139" s="121"/>
      <c r="DU139" s="121"/>
      <c r="DV139" s="121"/>
      <c r="DW139" s="121"/>
      <c r="DX139" s="121"/>
      <c r="DY139" s="121"/>
      <c r="DZ139" s="121"/>
      <c r="EA139" s="121"/>
      <c r="EB139" s="121"/>
      <c r="EC139" s="121"/>
      <c r="ED139" s="121"/>
      <c r="EE139" s="121"/>
      <c r="EF139" s="121"/>
      <c r="EG139" s="121"/>
      <c r="EH139" s="121"/>
      <c r="EI139" s="121"/>
      <c r="EJ139" s="121"/>
      <c r="EK139" s="121"/>
      <c r="EL139" s="121"/>
      <c r="EM139" s="120"/>
      <c r="EP139" s="116"/>
      <c r="EQ139" s="121"/>
      <c r="ER139" s="121"/>
      <c r="ES139" s="121"/>
      <c r="ET139" s="121"/>
      <c r="EU139" s="121"/>
      <c r="EV139" s="121"/>
      <c r="EW139" s="121"/>
      <c r="EX139" s="121"/>
      <c r="EY139" s="121"/>
      <c r="EZ139" s="121"/>
      <c r="FA139" s="121"/>
      <c r="FB139" s="121"/>
      <c r="FC139" s="121"/>
      <c r="FD139" s="121"/>
      <c r="FE139" s="121"/>
      <c r="FF139" s="121"/>
      <c r="FG139" s="121"/>
      <c r="FH139" s="121"/>
      <c r="FI139" s="121"/>
      <c r="FJ139" s="121"/>
      <c r="FK139" s="121"/>
      <c r="FL139" s="121"/>
      <c r="FM139" s="121"/>
      <c r="FN139" s="121"/>
      <c r="FO139" s="121"/>
      <c r="FP139" s="121"/>
      <c r="FQ139" s="121"/>
      <c r="FR139" s="121"/>
      <c r="FS139" s="121"/>
      <c r="FT139" s="121"/>
      <c r="FU139" s="121"/>
      <c r="FV139" s="121"/>
      <c r="FW139" s="121"/>
      <c r="FX139" s="121"/>
      <c r="FY139" s="121"/>
      <c r="FZ139" s="121"/>
      <c r="GA139" s="121"/>
      <c r="GB139" s="121"/>
      <c r="GC139" s="121"/>
      <c r="GD139" s="121"/>
      <c r="GE139" s="121"/>
      <c r="GF139" s="121"/>
      <c r="GG139" s="121"/>
      <c r="GH139" s="121"/>
      <c r="GI139" s="121"/>
      <c r="GJ139" s="121"/>
      <c r="GK139" s="121"/>
      <c r="GL139" s="121"/>
      <c r="GM139" s="121"/>
      <c r="GN139" s="121"/>
      <c r="GO139" s="121"/>
      <c r="GP139" s="121"/>
      <c r="GQ139" s="121"/>
      <c r="GR139" s="121"/>
      <c r="GS139" s="121"/>
      <c r="GT139" s="121"/>
      <c r="GU139" s="121"/>
      <c r="GV139" s="121"/>
      <c r="GW139" s="121"/>
      <c r="GX139" s="121"/>
      <c r="GY139" s="121"/>
      <c r="GZ139" s="121"/>
      <c r="HA139" s="121"/>
      <c r="HB139" s="121"/>
      <c r="HC139" s="121"/>
      <c r="HD139" s="121"/>
      <c r="HE139" s="121"/>
      <c r="HF139" s="121"/>
      <c r="HG139" s="121"/>
      <c r="HH139" s="121"/>
      <c r="HI139" s="121"/>
      <c r="HJ139" s="121"/>
      <c r="HK139" s="121"/>
      <c r="HL139" s="121"/>
      <c r="HM139" s="121"/>
      <c r="HN139" s="121"/>
      <c r="HO139" s="121"/>
      <c r="HP139" s="121"/>
      <c r="HQ139" s="121"/>
      <c r="HR139" s="121"/>
      <c r="HS139" s="121"/>
      <c r="HT139" s="121"/>
      <c r="HU139" s="121"/>
      <c r="HV139" s="121"/>
      <c r="HW139" s="121"/>
      <c r="HX139" s="121"/>
      <c r="HY139" s="121"/>
      <c r="HZ139" s="121"/>
      <c r="IA139" s="121"/>
      <c r="IB139" s="120"/>
    </row>
    <row r="140" spans="3:236" ht="3.75" customHeight="1">
      <c r="C140" s="140"/>
      <c r="D140" s="141"/>
      <c r="E140" s="148"/>
      <c r="F140" s="149"/>
      <c r="G140" s="149"/>
      <c r="H140" s="149"/>
      <c r="I140" s="149"/>
      <c r="J140" s="149"/>
      <c r="K140" s="149"/>
      <c r="L140" s="149"/>
      <c r="M140" s="149"/>
      <c r="N140" s="149"/>
      <c r="O140" s="121"/>
      <c r="P140" s="121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  <c r="AC140" s="150"/>
      <c r="AD140" s="150"/>
      <c r="AE140" s="150"/>
      <c r="AF140" s="150"/>
      <c r="AG140" s="150"/>
      <c r="AH140" s="150"/>
      <c r="AI140" s="150"/>
      <c r="AJ140" s="150"/>
      <c r="AK140" s="150"/>
      <c r="AL140" s="150"/>
      <c r="AM140" s="150"/>
      <c r="AN140" s="150"/>
      <c r="AO140" s="150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41"/>
      <c r="AZ140" s="142"/>
      <c r="BC140" s="116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  <c r="CS140" s="121"/>
      <c r="CT140" s="121"/>
      <c r="CU140" s="121"/>
      <c r="CV140" s="121"/>
      <c r="CW140" s="121"/>
      <c r="CX140" s="121"/>
      <c r="CY140" s="121"/>
      <c r="CZ140" s="121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1"/>
      <c r="DL140" s="121"/>
      <c r="DM140" s="121"/>
      <c r="DN140" s="121"/>
      <c r="DO140" s="121"/>
      <c r="DP140" s="121"/>
      <c r="DQ140" s="121"/>
      <c r="DR140" s="121"/>
      <c r="DS140" s="121"/>
      <c r="DT140" s="121"/>
      <c r="DU140" s="121"/>
      <c r="DV140" s="121"/>
      <c r="DW140" s="121"/>
      <c r="DX140" s="121"/>
      <c r="DY140" s="121"/>
      <c r="DZ140" s="121"/>
      <c r="EA140" s="121"/>
      <c r="EB140" s="121"/>
      <c r="EC140" s="121"/>
      <c r="ED140" s="121"/>
      <c r="EE140" s="121"/>
      <c r="EF140" s="121"/>
      <c r="EG140" s="121"/>
      <c r="EH140" s="121"/>
      <c r="EI140" s="121"/>
      <c r="EJ140" s="121"/>
      <c r="EK140" s="121"/>
      <c r="EL140" s="121"/>
      <c r="EM140" s="120"/>
      <c r="EP140" s="116"/>
      <c r="EQ140" s="121"/>
      <c r="ER140" s="121"/>
      <c r="ES140" s="121"/>
      <c r="ET140" s="121"/>
      <c r="EU140" s="121"/>
      <c r="EV140" s="121"/>
      <c r="EW140" s="121"/>
      <c r="EX140" s="121"/>
      <c r="EY140" s="121"/>
      <c r="EZ140" s="121"/>
      <c r="FA140" s="121"/>
      <c r="FB140" s="121"/>
      <c r="FC140" s="121"/>
      <c r="FD140" s="121"/>
      <c r="FE140" s="121"/>
      <c r="FF140" s="121"/>
      <c r="FG140" s="121"/>
      <c r="FH140" s="121"/>
      <c r="FI140" s="121"/>
      <c r="FJ140" s="121"/>
      <c r="FK140" s="121"/>
      <c r="FL140" s="121"/>
      <c r="FM140" s="121"/>
      <c r="FN140" s="121"/>
      <c r="FO140" s="121"/>
      <c r="FP140" s="121"/>
      <c r="FQ140" s="121"/>
      <c r="FR140" s="121"/>
      <c r="FS140" s="121"/>
      <c r="FT140" s="121"/>
      <c r="FU140" s="121"/>
      <c r="FV140" s="121"/>
      <c r="FW140" s="121"/>
      <c r="FX140" s="121"/>
      <c r="FY140" s="121"/>
      <c r="FZ140" s="121"/>
      <c r="GA140" s="121"/>
      <c r="GB140" s="121"/>
      <c r="GC140" s="121"/>
      <c r="GD140" s="121"/>
      <c r="GE140" s="121"/>
      <c r="GF140" s="121"/>
      <c r="GG140" s="121"/>
      <c r="GH140" s="121"/>
      <c r="GI140" s="121"/>
      <c r="GJ140" s="121"/>
      <c r="GK140" s="121"/>
      <c r="GL140" s="121"/>
      <c r="GM140" s="121"/>
      <c r="GN140" s="121"/>
      <c r="GO140" s="121"/>
      <c r="GP140" s="121"/>
      <c r="GQ140" s="121"/>
      <c r="GR140" s="121"/>
      <c r="GS140" s="121"/>
      <c r="GT140" s="121"/>
      <c r="GU140" s="121"/>
      <c r="GV140" s="121"/>
      <c r="GW140" s="121"/>
      <c r="GX140" s="121"/>
      <c r="GY140" s="121"/>
      <c r="GZ140" s="121"/>
      <c r="HA140" s="121"/>
      <c r="HB140" s="121"/>
      <c r="HC140" s="121"/>
      <c r="HD140" s="121"/>
      <c r="HE140" s="121"/>
      <c r="HF140" s="121"/>
      <c r="HG140" s="121"/>
      <c r="HH140" s="121"/>
      <c r="HI140" s="121"/>
      <c r="HJ140" s="121"/>
      <c r="HK140" s="121"/>
      <c r="HL140" s="121"/>
      <c r="HM140" s="121"/>
      <c r="HN140" s="121"/>
      <c r="HO140" s="121"/>
      <c r="HP140" s="121"/>
      <c r="HQ140" s="121"/>
      <c r="HR140" s="121"/>
      <c r="HS140" s="121"/>
      <c r="HT140" s="121"/>
      <c r="HU140" s="121"/>
      <c r="HV140" s="121"/>
      <c r="HW140" s="121"/>
      <c r="HX140" s="121"/>
      <c r="HY140" s="121"/>
      <c r="HZ140" s="121"/>
      <c r="IA140" s="121"/>
      <c r="IB140" s="120"/>
    </row>
    <row r="141" spans="3:236" ht="3.75" customHeight="1">
      <c r="C141" s="140"/>
      <c r="D141" s="141"/>
      <c r="E141" s="148"/>
      <c r="F141" s="149"/>
      <c r="G141" s="149"/>
      <c r="H141" s="149"/>
      <c r="I141" s="149"/>
      <c r="J141" s="149"/>
      <c r="K141" s="149"/>
      <c r="L141" s="149"/>
      <c r="M141" s="149"/>
      <c r="N141" s="149"/>
      <c r="O141" s="121"/>
      <c r="P141" s="121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41"/>
      <c r="AZ141" s="142"/>
      <c r="BC141" s="116"/>
      <c r="BD141" s="121"/>
      <c r="BE141" s="121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  <c r="CS141" s="121"/>
      <c r="CT141" s="121"/>
      <c r="CU141" s="121"/>
      <c r="CV141" s="121"/>
      <c r="CW141" s="121"/>
      <c r="CX141" s="121"/>
      <c r="CY141" s="121"/>
      <c r="CZ141" s="121"/>
      <c r="DA141" s="121"/>
      <c r="DB141" s="121"/>
      <c r="DC141" s="121"/>
      <c r="DD141" s="121"/>
      <c r="DE141" s="121"/>
      <c r="DF141" s="121"/>
      <c r="DG141" s="121"/>
      <c r="DH141" s="121"/>
      <c r="DI141" s="121"/>
      <c r="DJ141" s="121"/>
      <c r="DK141" s="121"/>
      <c r="DL141" s="121"/>
      <c r="DM141" s="121"/>
      <c r="DN141" s="121"/>
      <c r="DO141" s="121"/>
      <c r="DP141" s="121"/>
      <c r="DQ141" s="121"/>
      <c r="DR141" s="121"/>
      <c r="DS141" s="121"/>
      <c r="DT141" s="121"/>
      <c r="DU141" s="121"/>
      <c r="DV141" s="121"/>
      <c r="DW141" s="121"/>
      <c r="DX141" s="121"/>
      <c r="DY141" s="121"/>
      <c r="DZ141" s="121"/>
      <c r="EA141" s="121"/>
      <c r="EB141" s="121"/>
      <c r="EC141" s="121"/>
      <c r="ED141" s="121"/>
      <c r="EE141" s="121"/>
      <c r="EF141" s="121"/>
      <c r="EG141" s="121"/>
      <c r="EH141" s="121"/>
      <c r="EI141" s="121"/>
      <c r="EJ141" s="121"/>
      <c r="EK141" s="121"/>
      <c r="EL141" s="121"/>
      <c r="EM141" s="120"/>
      <c r="EP141" s="116"/>
      <c r="EQ141" s="121"/>
      <c r="ER141" s="121"/>
      <c r="ES141" s="121"/>
      <c r="ET141" s="121"/>
      <c r="EU141" s="121"/>
      <c r="EV141" s="121"/>
      <c r="EW141" s="121"/>
      <c r="EX141" s="121"/>
      <c r="EY141" s="121"/>
      <c r="EZ141" s="121"/>
      <c r="FA141" s="121"/>
      <c r="FB141" s="121"/>
      <c r="FC141" s="121"/>
      <c r="FD141" s="121"/>
      <c r="FE141" s="121"/>
      <c r="FF141" s="121"/>
      <c r="FG141" s="121"/>
      <c r="FH141" s="121"/>
      <c r="FI141" s="121"/>
      <c r="FJ141" s="121"/>
      <c r="FK141" s="121"/>
      <c r="FL141" s="121"/>
      <c r="FM141" s="121"/>
      <c r="FN141" s="121"/>
      <c r="FO141" s="121"/>
      <c r="FP141" s="121"/>
      <c r="FQ141" s="121"/>
      <c r="FR141" s="121"/>
      <c r="FS141" s="121"/>
      <c r="FT141" s="121"/>
      <c r="FU141" s="121"/>
      <c r="FV141" s="121"/>
      <c r="FW141" s="121"/>
      <c r="FX141" s="121"/>
      <c r="FY141" s="121"/>
      <c r="FZ141" s="121"/>
      <c r="GA141" s="121"/>
      <c r="GB141" s="121"/>
      <c r="GC141" s="121"/>
      <c r="GD141" s="121"/>
      <c r="GE141" s="121"/>
      <c r="GF141" s="121"/>
      <c r="GG141" s="121"/>
      <c r="GH141" s="121"/>
      <c r="GI141" s="121"/>
      <c r="GJ141" s="121"/>
      <c r="GK141" s="121"/>
      <c r="GL141" s="121"/>
      <c r="GM141" s="121"/>
      <c r="GN141" s="121"/>
      <c r="GO141" s="121"/>
      <c r="GP141" s="121"/>
      <c r="GQ141" s="121"/>
      <c r="GR141" s="121"/>
      <c r="GS141" s="121"/>
      <c r="GT141" s="121"/>
      <c r="GU141" s="121"/>
      <c r="GV141" s="121"/>
      <c r="GW141" s="121"/>
      <c r="GX141" s="121"/>
      <c r="GY141" s="121"/>
      <c r="GZ141" s="121"/>
      <c r="HA141" s="121"/>
      <c r="HB141" s="121"/>
      <c r="HC141" s="121"/>
      <c r="HD141" s="121"/>
      <c r="HE141" s="121"/>
      <c r="HF141" s="121"/>
      <c r="HG141" s="121"/>
      <c r="HH141" s="121"/>
      <c r="HI141" s="121"/>
      <c r="HJ141" s="121"/>
      <c r="HK141" s="121"/>
      <c r="HL141" s="121"/>
      <c r="HM141" s="121"/>
      <c r="HN141" s="121"/>
      <c r="HO141" s="121"/>
      <c r="HP141" s="121"/>
      <c r="HQ141" s="121"/>
      <c r="HR141" s="121"/>
      <c r="HS141" s="121"/>
      <c r="HT141" s="121"/>
      <c r="HU141" s="121"/>
      <c r="HV141" s="121"/>
      <c r="HW141" s="121"/>
      <c r="HX141" s="121"/>
      <c r="HY141" s="121"/>
      <c r="HZ141" s="121"/>
      <c r="IA141" s="121"/>
      <c r="IB141" s="120"/>
    </row>
    <row r="142" spans="3:236" ht="3.75" customHeight="1">
      <c r="C142" s="140"/>
      <c r="D142" s="141"/>
      <c r="E142" s="154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41"/>
      <c r="AZ142" s="142"/>
      <c r="BC142" s="116"/>
      <c r="BD142" s="121"/>
      <c r="BE142" s="121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  <c r="CS142" s="121"/>
      <c r="CT142" s="121"/>
      <c r="CU142" s="121"/>
      <c r="CV142" s="121"/>
      <c r="CW142" s="121"/>
      <c r="CX142" s="121"/>
      <c r="CY142" s="121"/>
      <c r="CZ142" s="121"/>
      <c r="DA142" s="121"/>
      <c r="DB142" s="121"/>
      <c r="DC142" s="121"/>
      <c r="DD142" s="121"/>
      <c r="DE142" s="121"/>
      <c r="DF142" s="121"/>
      <c r="DG142" s="121"/>
      <c r="DH142" s="121"/>
      <c r="DI142" s="121"/>
      <c r="DJ142" s="121"/>
      <c r="DK142" s="121"/>
      <c r="DL142" s="121"/>
      <c r="DM142" s="121"/>
      <c r="DN142" s="121"/>
      <c r="DO142" s="121"/>
      <c r="DP142" s="121"/>
      <c r="DQ142" s="121"/>
      <c r="DR142" s="121"/>
      <c r="DS142" s="121"/>
      <c r="DT142" s="121"/>
      <c r="DU142" s="121"/>
      <c r="DV142" s="121"/>
      <c r="DW142" s="121"/>
      <c r="DX142" s="121"/>
      <c r="DY142" s="121"/>
      <c r="DZ142" s="121"/>
      <c r="EA142" s="121"/>
      <c r="EB142" s="121"/>
      <c r="EC142" s="121"/>
      <c r="ED142" s="121"/>
      <c r="EE142" s="121"/>
      <c r="EF142" s="121"/>
      <c r="EG142" s="121"/>
      <c r="EH142" s="121"/>
      <c r="EI142" s="121"/>
      <c r="EJ142" s="121"/>
      <c r="EK142" s="121"/>
      <c r="EL142" s="121"/>
      <c r="EM142" s="120"/>
      <c r="EP142" s="116"/>
      <c r="EQ142" s="121"/>
      <c r="ER142" s="121"/>
      <c r="ES142" s="121"/>
      <c r="ET142" s="121"/>
      <c r="EU142" s="121"/>
      <c r="EV142" s="121"/>
      <c r="EW142" s="121"/>
      <c r="EX142" s="121"/>
      <c r="EY142" s="121"/>
      <c r="EZ142" s="121"/>
      <c r="FA142" s="121"/>
      <c r="FB142" s="121"/>
      <c r="FC142" s="121"/>
      <c r="FD142" s="121"/>
      <c r="FE142" s="121"/>
      <c r="FF142" s="121"/>
      <c r="FG142" s="121"/>
      <c r="FH142" s="121"/>
      <c r="FI142" s="121"/>
      <c r="FJ142" s="121"/>
      <c r="FK142" s="121"/>
      <c r="FL142" s="121"/>
      <c r="FM142" s="121"/>
      <c r="FN142" s="121"/>
      <c r="FO142" s="121"/>
      <c r="FP142" s="121"/>
      <c r="FQ142" s="121"/>
      <c r="FR142" s="121"/>
      <c r="FS142" s="121"/>
      <c r="FT142" s="121"/>
      <c r="FU142" s="121"/>
      <c r="FV142" s="121"/>
      <c r="FW142" s="121"/>
      <c r="FX142" s="121"/>
      <c r="FY142" s="121"/>
      <c r="FZ142" s="121"/>
      <c r="GA142" s="121"/>
      <c r="GB142" s="121"/>
      <c r="GC142" s="121"/>
      <c r="GD142" s="121"/>
      <c r="GE142" s="121"/>
      <c r="GF142" s="121"/>
      <c r="GG142" s="121"/>
      <c r="GH142" s="121"/>
      <c r="GI142" s="121"/>
      <c r="GJ142" s="121"/>
      <c r="GK142" s="121"/>
      <c r="GL142" s="121"/>
      <c r="GM142" s="121"/>
      <c r="GN142" s="121"/>
      <c r="GO142" s="121"/>
      <c r="GP142" s="121"/>
      <c r="GQ142" s="121"/>
      <c r="GR142" s="121"/>
      <c r="GS142" s="121"/>
      <c r="GT142" s="121"/>
      <c r="GU142" s="121"/>
      <c r="GV142" s="121"/>
      <c r="GW142" s="121"/>
      <c r="GX142" s="121"/>
      <c r="GY142" s="121"/>
      <c r="GZ142" s="121"/>
      <c r="HA142" s="121"/>
      <c r="HB142" s="121"/>
      <c r="HC142" s="121"/>
      <c r="HD142" s="121"/>
      <c r="HE142" s="121"/>
      <c r="HF142" s="121"/>
      <c r="HG142" s="121"/>
      <c r="HH142" s="121"/>
      <c r="HI142" s="121"/>
      <c r="HJ142" s="121"/>
      <c r="HK142" s="121"/>
      <c r="HL142" s="121"/>
      <c r="HM142" s="121"/>
      <c r="HN142" s="121"/>
      <c r="HO142" s="121"/>
      <c r="HP142" s="121"/>
      <c r="HQ142" s="121"/>
      <c r="HR142" s="121"/>
      <c r="HS142" s="121"/>
      <c r="HT142" s="121"/>
      <c r="HU142" s="121"/>
      <c r="HV142" s="121"/>
      <c r="HW142" s="121"/>
      <c r="HX142" s="121"/>
      <c r="HY142" s="121"/>
      <c r="HZ142" s="121"/>
      <c r="IA142" s="121"/>
      <c r="IB142" s="120"/>
    </row>
    <row r="143" spans="3:236" ht="3.75" customHeight="1">
      <c r="C143" s="140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41"/>
      <c r="AO143" s="141"/>
      <c r="AP143" s="141"/>
      <c r="AQ143" s="141"/>
      <c r="AR143" s="141"/>
      <c r="AS143" s="141"/>
      <c r="AT143" s="141"/>
      <c r="AU143" s="141"/>
      <c r="AV143" s="141"/>
      <c r="AW143" s="141"/>
      <c r="AX143" s="141"/>
      <c r="AY143" s="141"/>
      <c r="AZ143" s="142"/>
      <c r="BC143" s="116"/>
      <c r="BD143" s="121"/>
      <c r="BE143" s="121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  <c r="CS143" s="121"/>
      <c r="CT143" s="121"/>
      <c r="CU143" s="121"/>
      <c r="CV143" s="121"/>
      <c r="CW143" s="121"/>
      <c r="CX143" s="121"/>
      <c r="CY143" s="121"/>
      <c r="CZ143" s="121"/>
      <c r="DA143" s="121"/>
      <c r="DB143" s="121"/>
      <c r="DC143" s="121"/>
      <c r="DD143" s="121"/>
      <c r="DE143" s="121"/>
      <c r="DF143" s="121"/>
      <c r="DG143" s="121"/>
      <c r="DH143" s="121"/>
      <c r="DI143" s="121"/>
      <c r="DJ143" s="121"/>
      <c r="DK143" s="121"/>
      <c r="DL143" s="121"/>
      <c r="DM143" s="121"/>
      <c r="DN143" s="121"/>
      <c r="DO143" s="121"/>
      <c r="DP143" s="121"/>
      <c r="DQ143" s="121"/>
      <c r="DR143" s="121"/>
      <c r="DS143" s="121"/>
      <c r="DT143" s="121"/>
      <c r="DU143" s="121"/>
      <c r="DV143" s="121"/>
      <c r="DW143" s="121"/>
      <c r="DX143" s="121"/>
      <c r="DY143" s="121"/>
      <c r="DZ143" s="121"/>
      <c r="EA143" s="121"/>
      <c r="EB143" s="121"/>
      <c r="EC143" s="121"/>
      <c r="ED143" s="121"/>
      <c r="EE143" s="121"/>
      <c r="EF143" s="121"/>
      <c r="EG143" s="121"/>
      <c r="EH143" s="121"/>
      <c r="EI143" s="121"/>
      <c r="EJ143" s="121"/>
      <c r="EK143" s="121"/>
      <c r="EL143" s="121"/>
      <c r="EM143" s="120"/>
      <c r="EP143" s="116"/>
      <c r="EQ143" s="121"/>
      <c r="ER143" s="121"/>
      <c r="ES143" s="121"/>
      <c r="ET143" s="121"/>
      <c r="EU143" s="121"/>
      <c r="EV143" s="121"/>
      <c r="EW143" s="121"/>
      <c r="EX143" s="121"/>
      <c r="EY143" s="121"/>
      <c r="EZ143" s="121"/>
      <c r="FA143" s="121"/>
      <c r="FB143" s="121"/>
      <c r="FC143" s="121"/>
      <c r="FD143" s="121"/>
      <c r="FE143" s="121"/>
      <c r="FF143" s="121"/>
      <c r="FG143" s="121"/>
      <c r="FH143" s="121"/>
      <c r="FI143" s="121"/>
      <c r="FJ143" s="121"/>
      <c r="FK143" s="121"/>
      <c r="FL143" s="121"/>
      <c r="FM143" s="121"/>
      <c r="FN143" s="121"/>
      <c r="FO143" s="121"/>
      <c r="FP143" s="121"/>
      <c r="FQ143" s="121"/>
      <c r="FR143" s="121"/>
      <c r="FS143" s="121"/>
      <c r="FT143" s="121"/>
      <c r="FU143" s="121"/>
      <c r="FV143" s="121"/>
      <c r="FW143" s="121"/>
      <c r="FX143" s="121"/>
      <c r="FY143" s="121"/>
      <c r="FZ143" s="121"/>
      <c r="GA143" s="121"/>
      <c r="GB143" s="121"/>
      <c r="GC143" s="121"/>
      <c r="GD143" s="121"/>
      <c r="GE143" s="121"/>
      <c r="GF143" s="121"/>
      <c r="GG143" s="121"/>
      <c r="GH143" s="121"/>
      <c r="GI143" s="121"/>
      <c r="GJ143" s="121"/>
      <c r="GK143" s="121"/>
      <c r="GL143" s="121"/>
      <c r="GM143" s="121"/>
      <c r="GN143" s="121"/>
      <c r="GO143" s="121"/>
      <c r="GP143" s="121"/>
      <c r="GQ143" s="121"/>
      <c r="GR143" s="121"/>
      <c r="GS143" s="121"/>
      <c r="GT143" s="121"/>
      <c r="GU143" s="121"/>
      <c r="GV143" s="121"/>
      <c r="GW143" s="121"/>
      <c r="GX143" s="121"/>
      <c r="GY143" s="121"/>
      <c r="GZ143" s="121"/>
      <c r="HA143" s="121"/>
      <c r="HB143" s="121"/>
      <c r="HC143" s="121"/>
      <c r="HD143" s="121"/>
      <c r="HE143" s="121"/>
      <c r="HF143" s="121"/>
      <c r="HG143" s="121"/>
      <c r="HH143" s="121"/>
      <c r="HI143" s="121"/>
      <c r="HJ143" s="121"/>
      <c r="HK143" s="121"/>
      <c r="HL143" s="121"/>
      <c r="HM143" s="121"/>
      <c r="HN143" s="121"/>
      <c r="HO143" s="121"/>
      <c r="HP143" s="121"/>
      <c r="HQ143" s="121"/>
      <c r="HR143" s="121"/>
      <c r="HS143" s="121"/>
      <c r="HT143" s="121"/>
      <c r="HU143" s="121"/>
      <c r="HV143" s="121"/>
      <c r="HW143" s="121"/>
      <c r="HX143" s="121"/>
      <c r="HY143" s="121"/>
      <c r="HZ143" s="121"/>
      <c r="IA143" s="121"/>
      <c r="IB143" s="120"/>
    </row>
    <row r="144" spans="3:236" ht="3.75" customHeight="1">
      <c r="C144" s="140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41"/>
      <c r="AJ144" s="141"/>
      <c r="AK144" s="141"/>
      <c r="AL144" s="141"/>
      <c r="AM144" s="141"/>
      <c r="AN144" s="141"/>
      <c r="AO144" s="141"/>
      <c r="AP144" s="141"/>
      <c r="AQ144" s="141"/>
      <c r="AR144" s="141"/>
      <c r="AS144" s="141"/>
      <c r="AT144" s="141"/>
      <c r="AU144" s="141"/>
      <c r="AV144" s="141"/>
      <c r="AW144" s="141"/>
      <c r="AX144" s="141"/>
      <c r="AY144" s="141"/>
      <c r="AZ144" s="142"/>
      <c r="BC144" s="116"/>
      <c r="BD144" s="121"/>
      <c r="BE144" s="121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1"/>
      <c r="CI144" s="121"/>
      <c r="CJ144" s="121"/>
      <c r="CK144" s="121"/>
      <c r="CL144" s="121"/>
      <c r="CM144" s="121"/>
      <c r="CN144" s="121"/>
      <c r="CO144" s="121"/>
      <c r="CP144" s="121"/>
      <c r="CQ144" s="121"/>
      <c r="CR144" s="121"/>
      <c r="CS144" s="121"/>
      <c r="CT144" s="121"/>
      <c r="CU144" s="121"/>
      <c r="CV144" s="121"/>
      <c r="CW144" s="121"/>
      <c r="CX144" s="121"/>
      <c r="CY144" s="121"/>
      <c r="CZ144" s="121"/>
      <c r="DA144" s="121"/>
      <c r="DB144" s="121"/>
      <c r="DC144" s="121"/>
      <c r="DD144" s="121"/>
      <c r="DE144" s="121"/>
      <c r="DF144" s="121"/>
      <c r="DG144" s="121"/>
      <c r="DH144" s="121"/>
      <c r="DI144" s="121"/>
      <c r="DJ144" s="121"/>
      <c r="DK144" s="121"/>
      <c r="DL144" s="121"/>
      <c r="DM144" s="121"/>
      <c r="DN144" s="121"/>
      <c r="DO144" s="121"/>
      <c r="DP144" s="121"/>
      <c r="DQ144" s="121"/>
      <c r="DR144" s="121"/>
      <c r="DS144" s="121"/>
      <c r="DT144" s="121"/>
      <c r="DU144" s="121"/>
      <c r="DV144" s="121"/>
      <c r="DW144" s="121"/>
      <c r="DX144" s="121"/>
      <c r="DY144" s="121"/>
      <c r="DZ144" s="121"/>
      <c r="EA144" s="121"/>
      <c r="EB144" s="121"/>
      <c r="EC144" s="121"/>
      <c r="ED144" s="121"/>
      <c r="EE144" s="121"/>
      <c r="EF144" s="121"/>
      <c r="EG144" s="121"/>
      <c r="EH144" s="121"/>
      <c r="EI144" s="121"/>
      <c r="EJ144" s="121"/>
      <c r="EK144" s="121"/>
      <c r="EL144" s="121"/>
      <c r="EM144" s="120"/>
      <c r="EP144" s="116"/>
      <c r="EQ144" s="121"/>
      <c r="ER144" s="121"/>
      <c r="ES144" s="121"/>
      <c r="ET144" s="121"/>
      <c r="EU144" s="121"/>
      <c r="EV144" s="121"/>
      <c r="EW144" s="121"/>
      <c r="EX144" s="121"/>
      <c r="EY144" s="121"/>
      <c r="EZ144" s="121"/>
      <c r="FA144" s="121"/>
      <c r="FB144" s="121"/>
      <c r="FC144" s="121"/>
      <c r="FD144" s="121"/>
      <c r="FE144" s="121"/>
      <c r="FF144" s="121"/>
      <c r="FG144" s="121"/>
      <c r="FH144" s="121"/>
      <c r="FI144" s="121"/>
      <c r="FJ144" s="121"/>
      <c r="FK144" s="121"/>
      <c r="FL144" s="121"/>
      <c r="FM144" s="121"/>
      <c r="FN144" s="121"/>
      <c r="FO144" s="121"/>
      <c r="FP144" s="121"/>
      <c r="FQ144" s="121"/>
      <c r="FR144" s="121"/>
      <c r="FS144" s="121"/>
      <c r="FT144" s="121"/>
      <c r="FU144" s="121"/>
      <c r="FV144" s="121"/>
      <c r="FW144" s="121"/>
      <c r="FX144" s="121"/>
      <c r="FY144" s="121"/>
      <c r="FZ144" s="121"/>
      <c r="GA144" s="121"/>
      <c r="GB144" s="121"/>
      <c r="GC144" s="121"/>
      <c r="GD144" s="121"/>
      <c r="GE144" s="121"/>
      <c r="GF144" s="121"/>
      <c r="GG144" s="121"/>
      <c r="GH144" s="121"/>
      <c r="GI144" s="121"/>
      <c r="GJ144" s="121"/>
      <c r="GK144" s="121"/>
      <c r="GL144" s="121"/>
      <c r="GM144" s="121"/>
      <c r="GN144" s="121"/>
      <c r="GO144" s="121"/>
      <c r="GP144" s="121"/>
      <c r="GQ144" s="121"/>
      <c r="GR144" s="121"/>
      <c r="GS144" s="121"/>
      <c r="GT144" s="121"/>
      <c r="GU144" s="121"/>
      <c r="GV144" s="121"/>
      <c r="GW144" s="121"/>
      <c r="GX144" s="121"/>
      <c r="GY144" s="121"/>
      <c r="GZ144" s="121"/>
      <c r="HA144" s="121"/>
      <c r="HB144" s="121"/>
      <c r="HC144" s="121"/>
      <c r="HD144" s="121"/>
      <c r="HE144" s="121"/>
      <c r="HF144" s="121"/>
      <c r="HG144" s="121"/>
      <c r="HH144" s="121"/>
      <c r="HI144" s="121"/>
      <c r="HJ144" s="121"/>
      <c r="HK144" s="121"/>
      <c r="HL144" s="121"/>
      <c r="HM144" s="121"/>
      <c r="HN144" s="121"/>
      <c r="HO144" s="121"/>
      <c r="HP144" s="121"/>
      <c r="HQ144" s="121"/>
      <c r="HR144" s="121"/>
      <c r="HS144" s="121"/>
      <c r="HT144" s="121"/>
      <c r="HU144" s="121"/>
      <c r="HV144" s="121"/>
      <c r="HW144" s="121"/>
      <c r="HX144" s="121"/>
      <c r="HY144" s="121"/>
      <c r="HZ144" s="121"/>
      <c r="IA144" s="121"/>
      <c r="IB144" s="120"/>
    </row>
    <row r="145" spans="3:236" ht="3.75" customHeight="1">
      <c r="C145" s="140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41"/>
      <c r="AJ145" s="141"/>
      <c r="AK145" s="141"/>
      <c r="AL145" s="141"/>
      <c r="AM145" s="141"/>
      <c r="AN145" s="141"/>
      <c r="AO145" s="141"/>
      <c r="AP145" s="141"/>
      <c r="AQ145" s="141"/>
      <c r="AR145" s="141"/>
      <c r="AS145" s="141"/>
      <c r="AT145" s="141"/>
      <c r="AU145" s="141"/>
      <c r="AV145" s="141"/>
      <c r="AW145" s="141"/>
      <c r="AX145" s="141"/>
      <c r="AY145" s="141"/>
      <c r="AZ145" s="142"/>
      <c r="BC145" s="116"/>
      <c r="BD145" s="121"/>
      <c r="BE145" s="121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1"/>
      <c r="CP145" s="121"/>
      <c r="CQ145" s="121"/>
      <c r="CR145" s="121"/>
      <c r="CS145" s="121"/>
      <c r="CT145" s="121"/>
      <c r="CU145" s="121"/>
      <c r="CV145" s="121"/>
      <c r="CW145" s="121"/>
      <c r="CX145" s="121"/>
      <c r="CY145" s="121"/>
      <c r="CZ145" s="121"/>
      <c r="DA145" s="121"/>
      <c r="DB145" s="121"/>
      <c r="DC145" s="121"/>
      <c r="DD145" s="121"/>
      <c r="DE145" s="121"/>
      <c r="DF145" s="121"/>
      <c r="DG145" s="121"/>
      <c r="DH145" s="121"/>
      <c r="DI145" s="121"/>
      <c r="DJ145" s="121"/>
      <c r="DK145" s="121"/>
      <c r="DL145" s="121"/>
      <c r="DM145" s="121"/>
      <c r="DN145" s="121"/>
      <c r="DO145" s="121"/>
      <c r="DP145" s="121"/>
      <c r="DQ145" s="121"/>
      <c r="DR145" s="121"/>
      <c r="DS145" s="121"/>
      <c r="DT145" s="121"/>
      <c r="DU145" s="121"/>
      <c r="DV145" s="121"/>
      <c r="DW145" s="121"/>
      <c r="DX145" s="121"/>
      <c r="DY145" s="121"/>
      <c r="DZ145" s="121"/>
      <c r="EA145" s="121"/>
      <c r="EB145" s="121"/>
      <c r="EC145" s="121"/>
      <c r="ED145" s="121"/>
      <c r="EE145" s="121"/>
      <c r="EF145" s="121"/>
      <c r="EG145" s="121"/>
      <c r="EH145" s="121"/>
      <c r="EI145" s="121"/>
      <c r="EJ145" s="121"/>
      <c r="EK145" s="121"/>
      <c r="EL145" s="121"/>
      <c r="EM145" s="120"/>
      <c r="EP145" s="116"/>
      <c r="EQ145" s="121"/>
      <c r="ER145" s="121"/>
      <c r="ES145" s="121"/>
      <c r="ET145" s="121"/>
      <c r="EU145" s="121"/>
      <c r="EV145" s="121"/>
      <c r="EW145" s="121"/>
      <c r="EX145" s="121"/>
      <c r="EY145" s="121"/>
      <c r="EZ145" s="121"/>
      <c r="FA145" s="121"/>
      <c r="FB145" s="121"/>
      <c r="FC145" s="121"/>
      <c r="FD145" s="121"/>
      <c r="FE145" s="121"/>
      <c r="FF145" s="121"/>
      <c r="FG145" s="121"/>
      <c r="FH145" s="121"/>
      <c r="FI145" s="121"/>
      <c r="FJ145" s="121"/>
      <c r="FK145" s="121"/>
      <c r="FL145" s="121"/>
      <c r="FM145" s="121"/>
      <c r="FN145" s="121"/>
      <c r="FO145" s="121"/>
      <c r="FP145" s="121"/>
      <c r="FQ145" s="121"/>
      <c r="FR145" s="121"/>
      <c r="FS145" s="121"/>
      <c r="FT145" s="121"/>
      <c r="FU145" s="121"/>
      <c r="FV145" s="121"/>
      <c r="FW145" s="121"/>
      <c r="FX145" s="121"/>
      <c r="FY145" s="121"/>
      <c r="FZ145" s="121"/>
      <c r="GA145" s="121"/>
      <c r="GB145" s="121"/>
      <c r="GC145" s="121"/>
      <c r="GD145" s="121"/>
      <c r="GE145" s="121"/>
      <c r="GF145" s="121"/>
      <c r="GG145" s="121"/>
      <c r="GH145" s="121"/>
      <c r="GI145" s="121"/>
      <c r="GJ145" s="121"/>
      <c r="GK145" s="121"/>
      <c r="GL145" s="121"/>
      <c r="GM145" s="121"/>
      <c r="GN145" s="121"/>
      <c r="GO145" s="121"/>
      <c r="GP145" s="121"/>
      <c r="GQ145" s="121"/>
      <c r="GR145" s="121"/>
      <c r="GS145" s="121"/>
      <c r="GT145" s="121"/>
      <c r="GU145" s="121"/>
      <c r="GV145" s="121"/>
      <c r="GW145" s="121"/>
      <c r="GX145" s="121"/>
      <c r="GY145" s="121"/>
      <c r="GZ145" s="121"/>
      <c r="HA145" s="121"/>
      <c r="HB145" s="121"/>
      <c r="HC145" s="121"/>
      <c r="HD145" s="121"/>
      <c r="HE145" s="121"/>
      <c r="HF145" s="121"/>
      <c r="HG145" s="121"/>
      <c r="HH145" s="121"/>
      <c r="HI145" s="121"/>
      <c r="HJ145" s="121"/>
      <c r="HK145" s="121"/>
      <c r="HL145" s="121"/>
      <c r="HM145" s="121"/>
      <c r="HN145" s="121"/>
      <c r="HO145" s="121"/>
      <c r="HP145" s="121"/>
      <c r="HQ145" s="121"/>
      <c r="HR145" s="121"/>
      <c r="HS145" s="121"/>
      <c r="HT145" s="121"/>
      <c r="HU145" s="121"/>
      <c r="HV145" s="121"/>
      <c r="HW145" s="121"/>
      <c r="HX145" s="121"/>
      <c r="HY145" s="121"/>
      <c r="HZ145" s="121"/>
      <c r="IA145" s="121"/>
      <c r="IB145" s="120"/>
    </row>
    <row r="146" spans="3:236" ht="3.75" customHeight="1">
      <c r="C146" s="160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2"/>
      <c r="BC146" s="151"/>
      <c r="BD146" s="152"/>
      <c r="BE146" s="152"/>
      <c r="BF146" s="152"/>
      <c r="BG146" s="152"/>
      <c r="BH146" s="152"/>
      <c r="BI146" s="152"/>
      <c r="BJ146" s="152"/>
      <c r="BK146" s="152"/>
      <c r="BL146" s="152"/>
      <c r="BM146" s="152"/>
      <c r="BN146" s="152"/>
      <c r="BO146" s="152"/>
      <c r="BP146" s="152"/>
      <c r="BQ146" s="152"/>
      <c r="BR146" s="152"/>
      <c r="BS146" s="152"/>
      <c r="BT146" s="152"/>
      <c r="BU146" s="152"/>
      <c r="BV146" s="152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2"/>
      <c r="CQ146" s="152"/>
      <c r="CR146" s="152"/>
      <c r="CS146" s="152"/>
      <c r="CT146" s="152"/>
      <c r="CU146" s="152"/>
      <c r="CV146" s="152"/>
      <c r="CW146" s="152"/>
      <c r="CX146" s="152"/>
      <c r="CY146" s="152"/>
      <c r="CZ146" s="152"/>
      <c r="DA146" s="152"/>
      <c r="DB146" s="152"/>
      <c r="DC146" s="152"/>
      <c r="DD146" s="152"/>
      <c r="DE146" s="152"/>
      <c r="DF146" s="152"/>
      <c r="DG146" s="152"/>
      <c r="DH146" s="152"/>
      <c r="DI146" s="152"/>
      <c r="DJ146" s="152"/>
      <c r="DK146" s="152"/>
      <c r="DL146" s="152"/>
      <c r="DM146" s="152"/>
      <c r="DN146" s="152"/>
      <c r="DO146" s="152"/>
      <c r="DP146" s="152"/>
      <c r="DQ146" s="152"/>
      <c r="DR146" s="152"/>
      <c r="DS146" s="152"/>
      <c r="DT146" s="152"/>
      <c r="DU146" s="152"/>
      <c r="DV146" s="152"/>
      <c r="DW146" s="152"/>
      <c r="DX146" s="152"/>
      <c r="DY146" s="152"/>
      <c r="DZ146" s="152"/>
      <c r="EA146" s="152"/>
      <c r="EB146" s="152"/>
      <c r="EC146" s="152"/>
      <c r="ED146" s="152"/>
      <c r="EE146" s="152"/>
      <c r="EF146" s="152"/>
      <c r="EG146" s="152"/>
      <c r="EH146" s="152"/>
      <c r="EI146" s="152"/>
      <c r="EJ146" s="152"/>
      <c r="EK146" s="152"/>
      <c r="EL146" s="152"/>
      <c r="EM146" s="153"/>
      <c r="EP146" s="151"/>
      <c r="EQ146" s="152"/>
      <c r="ER146" s="152"/>
      <c r="ES146" s="152"/>
      <c r="ET146" s="152"/>
      <c r="EU146" s="152"/>
      <c r="EV146" s="152"/>
      <c r="EW146" s="152"/>
      <c r="EX146" s="152"/>
      <c r="EY146" s="152"/>
      <c r="EZ146" s="152"/>
      <c r="FA146" s="152"/>
      <c r="FB146" s="152"/>
      <c r="FC146" s="152"/>
      <c r="FD146" s="152"/>
      <c r="FE146" s="152"/>
      <c r="FF146" s="152"/>
      <c r="FG146" s="152"/>
      <c r="FH146" s="152"/>
      <c r="FI146" s="152"/>
      <c r="FJ146" s="152"/>
      <c r="FK146" s="152"/>
      <c r="FL146" s="152"/>
      <c r="FM146" s="152"/>
      <c r="FN146" s="152"/>
      <c r="FO146" s="152"/>
      <c r="FP146" s="152"/>
      <c r="FQ146" s="152"/>
      <c r="FR146" s="152"/>
      <c r="FS146" s="152"/>
      <c r="FT146" s="152"/>
      <c r="FU146" s="152"/>
      <c r="FV146" s="152"/>
      <c r="FW146" s="152"/>
      <c r="FX146" s="152"/>
      <c r="FY146" s="152"/>
      <c r="FZ146" s="152"/>
      <c r="GA146" s="152"/>
      <c r="GB146" s="152"/>
      <c r="GC146" s="152"/>
      <c r="GD146" s="152"/>
      <c r="GE146" s="152"/>
      <c r="GF146" s="152"/>
      <c r="GG146" s="152"/>
      <c r="GH146" s="152"/>
      <c r="GI146" s="152"/>
      <c r="GJ146" s="152"/>
      <c r="GK146" s="152"/>
      <c r="GL146" s="152"/>
      <c r="GM146" s="152"/>
      <c r="GN146" s="152"/>
      <c r="GO146" s="152"/>
      <c r="GP146" s="152"/>
      <c r="GQ146" s="152"/>
      <c r="GR146" s="152"/>
      <c r="GS146" s="152"/>
      <c r="GT146" s="152"/>
      <c r="GU146" s="152"/>
      <c r="GV146" s="152"/>
      <c r="GW146" s="152"/>
      <c r="GX146" s="152"/>
      <c r="GY146" s="152"/>
      <c r="GZ146" s="152"/>
      <c r="HA146" s="152"/>
      <c r="HB146" s="152"/>
      <c r="HC146" s="152"/>
      <c r="HD146" s="152"/>
      <c r="HE146" s="152"/>
      <c r="HF146" s="152"/>
      <c r="HG146" s="152"/>
      <c r="HH146" s="152"/>
      <c r="HI146" s="152"/>
      <c r="HJ146" s="152"/>
      <c r="HK146" s="152"/>
      <c r="HL146" s="152"/>
      <c r="HM146" s="152"/>
      <c r="HN146" s="152"/>
      <c r="HO146" s="152"/>
      <c r="HP146" s="152"/>
      <c r="HQ146" s="152"/>
      <c r="HR146" s="152"/>
      <c r="HS146" s="152"/>
      <c r="HT146" s="152"/>
      <c r="HU146" s="152"/>
      <c r="HV146" s="152"/>
      <c r="HW146" s="152"/>
      <c r="HX146" s="152"/>
      <c r="HY146" s="152"/>
      <c r="HZ146" s="152"/>
      <c r="IA146" s="152"/>
      <c r="IB146" s="153"/>
    </row>
    <row r="147" spans="3:236" ht="3.75" customHeight="1"/>
    <row r="148" spans="3:236" ht="3.75" customHeight="1"/>
    <row r="149" spans="3:236" ht="3.75" customHeight="1"/>
    <row r="150" spans="3:236" ht="3.75" customHeight="1"/>
  </sheetData>
  <mergeCells count="52">
    <mergeCell ref="E4:Q13"/>
    <mergeCell ref="U3:EE9"/>
    <mergeCell ref="U10:EE14"/>
    <mergeCell ref="GJ4:GR13"/>
    <mergeCell ref="GS4:IA8"/>
    <mergeCell ref="GS9:IB13"/>
    <mergeCell ref="C18:AZ25"/>
    <mergeCell ref="E28:AZ32"/>
    <mergeCell ref="E45:AZ48"/>
    <mergeCell ref="E65:L71"/>
    <mergeCell ref="N66:AY70"/>
    <mergeCell ref="N71:AY79"/>
    <mergeCell ref="E86:L91"/>
    <mergeCell ref="N86:AY91"/>
    <mergeCell ref="F94:N101"/>
    <mergeCell ref="Q93:AX98"/>
    <mergeCell ref="Q99:AX102"/>
    <mergeCell ref="F106:N114"/>
    <mergeCell ref="Q106:AX110"/>
    <mergeCell ref="Q111:AX114"/>
    <mergeCell ref="F118:N126"/>
    <mergeCell ref="Q118:AX122"/>
    <mergeCell ref="Q123:AX127"/>
    <mergeCell ref="F131:N141"/>
    <mergeCell ref="Q130:AX134"/>
    <mergeCell ref="Q135:AX142"/>
    <mergeCell ref="BG21:BQ30"/>
    <mergeCell ref="BU20:CT23"/>
    <mergeCell ref="BU24:CT31"/>
    <mergeCell ref="DB21:DL30"/>
    <mergeCell ref="DQ20:EL23"/>
    <mergeCell ref="DQ24:EL31"/>
    <mergeCell ref="ET21:FD30"/>
    <mergeCell ref="FH20:GE23"/>
    <mergeCell ref="FH24:GE31"/>
    <mergeCell ref="GN21:GW30"/>
    <mergeCell ref="HB20:IA23"/>
    <mergeCell ref="HB24:IA31"/>
    <mergeCell ref="BG38:BQ48"/>
    <mergeCell ref="BU38:EP41"/>
    <mergeCell ref="BU42:EP50"/>
    <mergeCell ref="EX38:FH48"/>
    <mergeCell ref="FL38:IA41"/>
    <mergeCell ref="FL42:IA50"/>
    <mergeCell ref="BE55:BK60"/>
    <mergeCell ref="BM55:EM60"/>
    <mergeCell ref="EU55:FA60"/>
    <mergeCell ref="FC55:HY60"/>
    <mergeCell ref="BE104:BK109"/>
    <mergeCell ref="BM104:EK109"/>
    <mergeCell ref="ER104:EX109"/>
    <mergeCell ref="FA104:HY109"/>
  </mergeCells>
  <pageMargins left="0.7" right="0.7" top="0.75" bottom="0.75" header="0.3" footer="0.3"/>
  <pageSetup orientation="landscape"/>
  <drawing r:id="rId1"/>
  <extLst>
    <ext xmlns:x14="http://schemas.microsoft.com/office/spreadsheetml/2009/9/main" uri="{A8765BA9-456A-4dab-B4F3-ACF838C121DE}">
      <x14:slicerList>
        <x14:slicer r:id="rId9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Clean Data</vt:lpstr>
      <vt:lpstr>Pivot Table 1</vt:lpstr>
      <vt:lpstr>Pivot Table 2</vt:lpstr>
      <vt:lpstr>Pivot Table 3</vt:lpstr>
      <vt:lpstr>Pivot Table 4</vt:lpstr>
      <vt:lpstr>Dashboard</vt:lpstr>
      <vt:lpstr>Dashboard!Print_Area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2026-09-30T08:15:27Z</dcterms:created>
  <dcterms:modified xsi:type="dcterms:W3CDTF">2026-09-30T08:15:27Z</dcterms:modified>
</cp:coreProperties>
</file>